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kenazter/Documents/Thoken File/Project/2025/test/bokbaru 2/resources/templates/"/>
    </mc:Choice>
  </mc:AlternateContent>
  <xr:revisionPtr revIDLastSave="0" documentId="13_ncr:1_{99CB8F3D-F518-B140-9FD5-34E152302D98}" xr6:coauthVersionLast="47" xr6:coauthVersionMax="47" xr10:uidLastSave="{00000000-0000-0000-0000-000000000000}"/>
  <bookViews>
    <workbookView xWindow="0" yWindow="680" windowWidth="29400" windowHeight="16500" xr2:uid="{4E596224-2970-C84F-BB7F-04E52C00CE66}"/>
  </bookViews>
  <sheets>
    <sheet name="RAB 2026" sheetId="1" r:id="rId1"/>
  </sheets>
  <externalReferences>
    <externalReference r:id="rId2"/>
    <externalReference r:id="rId3"/>
  </externalReferences>
  <definedNames>
    <definedName name="_xlnm._FilterDatabase" localSheetId="0" hidden="1">'RAB 2026'!$A$1:$A$63</definedName>
    <definedName name="_xlnm._FilterDatabase" hidden="1">#REF!</definedName>
    <definedName name="BPJS" localSheetId="0">[1]BKU!#REF!</definedName>
    <definedName name="BPJS">[1]BKU!#REF!</definedName>
    <definedName name="ER" localSheetId="0">#REF!</definedName>
    <definedName name="ER">#REF!</definedName>
    <definedName name="ERT" localSheetId="0">#REF!</definedName>
    <definedName name="ERT">#REF!</definedName>
    <definedName name="jabutama" localSheetId="0">#REF!</definedName>
    <definedName name="jabutama">#REF!</definedName>
    <definedName name="jmljabatan" localSheetId="0">#REF!</definedName>
    <definedName name="jmljabatan">#REF!</definedName>
    <definedName name="nominal">[2]kwitansi!$I$21</definedName>
    <definedName name="P2P" localSheetId="0">#REF!</definedName>
    <definedName name="P2P">#REF!</definedName>
    <definedName name="pendidikan" localSheetId="0">#REF!</definedName>
    <definedName name="pendidikan">#REF!</definedName>
    <definedName name="PMT">#REF!</definedName>
    <definedName name="_xlnm.Print_Area" localSheetId="0">'RAB 2026'!$A$1:$U$250</definedName>
    <definedName name="_xlnm.Print_Titles" localSheetId="0">#REF!</definedName>
    <definedName name="_xlnm.Print_Titles">#REF!</definedName>
    <definedName name="Q" localSheetId="0">#REF!</definedName>
    <definedName name="Q">#REF!</definedName>
    <definedName name="RKA">#REF!</definedName>
    <definedName name="Rp" localSheetId="0">#REF!</definedName>
    <definedName name="R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0" i="1" l="1"/>
  <c r="U238" i="1" s="1"/>
  <c r="T237" i="1"/>
  <c r="T236" i="1"/>
  <c r="T235" i="1"/>
  <c r="T234" i="1"/>
  <c r="T232" i="1"/>
  <c r="U231" i="1" s="1"/>
  <c r="T230" i="1"/>
  <c r="U229" i="1" s="1"/>
  <c r="T228" i="1"/>
  <c r="U227" i="1" s="1"/>
  <c r="T225" i="1"/>
  <c r="T224" i="1"/>
  <c r="T223" i="1"/>
  <c r="T220" i="1"/>
  <c r="T219" i="1"/>
  <c r="T218" i="1"/>
  <c r="T217" i="1"/>
  <c r="T216" i="1"/>
  <c r="T214" i="1"/>
  <c r="U213" i="1" s="1"/>
  <c r="T212" i="1"/>
  <c r="U211" i="1" s="1"/>
  <c r="T209" i="1"/>
  <c r="T208" i="1"/>
  <c r="T207" i="1"/>
  <c r="T204" i="1"/>
  <c r="T203" i="1"/>
  <c r="T202" i="1"/>
  <c r="T199" i="1"/>
  <c r="T198" i="1"/>
  <c r="T197" i="1"/>
  <c r="T195" i="1"/>
  <c r="T194" i="1"/>
  <c r="T193" i="1"/>
  <c r="T190" i="1"/>
  <c r="T189" i="1"/>
  <c r="T188" i="1"/>
  <c r="T186" i="1"/>
  <c r="T185" i="1"/>
  <c r="T184" i="1"/>
  <c r="T183" i="1"/>
  <c r="T180" i="1"/>
  <c r="T179" i="1"/>
  <c r="T178" i="1"/>
  <c r="T177" i="1"/>
  <c r="T175" i="1"/>
  <c r="T174" i="1"/>
  <c r="T173" i="1"/>
  <c r="T172" i="1"/>
  <c r="T170" i="1"/>
  <c r="T169" i="1"/>
  <c r="T168" i="1"/>
  <c r="T167" i="1"/>
  <c r="T165" i="1"/>
  <c r="T164" i="1"/>
  <c r="T163" i="1"/>
  <c r="T162" i="1"/>
  <c r="T159" i="1"/>
  <c r="T158" i="1"/>
  <c r="T157" i="1"/>
  <c r="T156" i="1"/>
  <c r="T154" i="1"/>
  <c r="T153" i="1"/>
  <c r="T152" i="1"/>
  <c r="T151" i="1"/>
  <c r="T149" i="1"/>
  <c r="T148" i="1"/>
  <c r="T147" i="1"/>
  <c r="T146" i="1"/>
  <c r="T144" i="1"/>
  <c r="T143" i="1"/>
  <c r="T142" i="1"/>
  <c r="T141" i="1"/>
  <c r="T138" i="1"/>
  <c r="T137" i="1"/>
  <c r="T136" i="1"/>
  <c r="T135" i="1"/>
  <c r="T133" i="1"/>
  <c r="T132" i="1"/>
  <c r="T131" i="1"/>
  <c r="T130" i="1"/>
  <c r="T128" i="1"/>
  <c r="T127" i="1"/>
  <c r="T126" i="1"/>
  <c r="T125" i="1"/>
  <c r="T123" i="1"/>
  <c r="T122" i="1"/>
  <c r="T121" i="1"/>
  <c r="T120" i="1"/>
  <c r="T117" i="1"/>
  <c r="T116" i="1"/>
  <c r="T115" i="1"/>
  <c r="T113" i="1"/>
  <c r="T112" i="1"/>
  <c r="T111" i="1"/>
  <c r="T108" i="1"/>
  <c r="T107" i="1"/>
  <c r="T106" i="1"/>
  <c r="T105" i="1"/>
  <c r="T103" i="1"/>
  <c r="T102" i="1"/>
  <c r="T101" i="1"/>
  <c r="T99" i="1"/>
  <c r="T98" i="1"/>
  <c r="T97" i="1"/>
  <c r="T95" i="1"/>
  <c r="T94" i="1"/>
  <c r="T93" i="1"/>
  <c r="T92" i="1"/>
  <c r="T89" i="1"/>
  <c r="T88" i="1"/>
  <c r="T87" i="1"/>
  <c r="T85" i="1"/>
  <c r="T84" i="1"/>
  <c r="T83" i="1"/>
  <c r="T81" i="1"/>
  <c r="T80" i="1"/>
  <c r="T79" i="1"/>
  <c r="T77" i="1"/>
  <c r="T76" i="1"/>
  <c r="T75" i="1"/>
  <c r="T73" i="1"/>
  <c r="T72" i="1"/>
  <c r="T71" i="1"/>
  <c r="T69" i="1"/>
  <c r="T68" i="1"/>
  <c r="T67" i="1"/>
  <c r="T63" i="1"/>
  <c r="T62" i="1"/>
  <c r="U61" i="1"/>
  <c r="T61" i="1"/>
  <c r="T59" i="1"/>
  <c r="T58" i="1"/>
  <c r="U57" i="1"/>
  <c r="T57" i="1"/>
  <c r="T55" i="1"/>
  <c r="T54" i="1"/>
  <c r="U53" i="1"/>
  <c r="T53" i="1"/>
  <c r="T50" i="1"/>
  <c r="U49" i="1"/>
  <c r="T49" i="1"/>
  <c r="U48" i="1"/>
  <c r="T48" i="1"/>
  <c r="T46" i="1"/>
  <c r="T45" i="1"/>
  <c r="U44" i="1"/>
  <c r="T44" i="1"/>
  <c r="T42" i="1"/>
  <c r="T41" i="1"/>
  <c r="U40" i="1"/>
  <c r="T40" i="1"/>
  <c r="T38" i="1"/>
  <c r="T37" i="1"/>
  <c r="U36" i="1"/>
  <c r="T36" i="1"/>
  <c r="U33" i="1"/>
  <c r="T33" i="1"/>
  <c r="T32" i="1"/>
  <c r="T31" i="1"/>
  <c r="U30" i="1"/>
  <c r="U31" i="1" s="1"/>
  <c r="T30" i="1"/>
  <c r="U28" i="1"/>
  <c r="T28" i="1"/>
  <c r="T27" i="1"/>
  <c r="T26" i="1"/>
  <c r="T25" i="1"/>
  <c r="T22" i="1"/>
  <c r="T21" i="1"/>
  <c r="T20" i="1"/>
  <c r="T19" i="1"/>
  <c r="U12" i="1"/>
  <c r="U58" i="1" l="1"/>
  <c r="U24" i="1"/>
  <c r="U66" i="1"/>
  <c r="U100" i="1"/>
  <c r="U60" i="1"/>
  <c r="U52" i="1"/>
  <c r="U187" i="1"/>
  <c r="U43" i="1"/>
  <c r="U192" i="1"/>
  <c r="U96" i="1"/>
  <c r="U129" i="1"/>
  <c r="U233" i="1"/>
  <c r="U91" i="1"/>
  <c r="U155" i="1"/>
  <c r="U176" i="1"/>
  <c r="U32" i="1"/>
  <c r="U201" i="1"/>
  <c r="U200" i="1" s="1"/>
  <c r="U104" i="1"/>
  <c r="U166" i="1"/>
  <c r="U196" i="1"/>
  <c r="U47" i="1"/>
  <c r="U56" i="1"/>
  <c r="U119" i="1"/>
  <c r="U78" i="1"/>
  <c r="U18" i="1"/>
  <c r="U17" i="1" s="1"/>
  <c r="U35" i="1"/>
  <c r="U171" i="1"/>
  <c r="U222" i="1"/>
  <c r="U70" i="1"/>
  <c r="U161" i="1"/>
  <c r="U182" i="1"/>
  <c r="U181" i="1" s="1"/>
  <c r="U39" i="1"/>
  <c r="U82" i="1"/>
  <c r="U145" i="1"/>
  <c r="U226" i="1"/>
  <c r="U124" i="1"/>
  <c r="U45" i="1"/>
  <c r="U86" i="1"/>
  <c r="U114" i="1"/>
  <c r="U134" i="1"/>
  <c r="U110" i="1"/>
  <c r="U150" i="1"/>
  <c r="U215" i="1"/>
  <c r="U210" i="1" s="1"/>
  <c r="U206" i="1"/>
  <c r="U205" i="1" s="1"/>
  <c r="U29" i="1"/>
  <c r="U74" i="1"/>
  <c r="U140" i="1"/>
  <c r="U23" i="1" l="1"/>
  <c r="U221" i="1"/>
  <c r="U51" i="1"/>
  <c r="U191" i="1"/>
  <c r="U109" i="1"/>
  <c r="U90" i="1"/>
  <c r="U118" i="1"/>
  <c r="U34" i="1"/>
  <c r="U160" i="1"/>
  <c r="U65" i="1"/>
  <c r="U139" i="1"/>
  <c r="U10" i="1" l="1"/>
  <c r="U64" i="1"/>
  <c r="U9" i="1" l="1"/>
</calcChain>
</file>

<file path=xl/sharedStrings.xml><?xml version="1.0" encoding="utf-8"?>
<sst xmlns="http://schemas.openxmlformats.org/spreadsheetml/2006/main" count="1580" uniqueCount="216">
  <si>
    <t>RENCANA ANGGARAN  BIAYA (RAB)</t>
  </si>
  <si>
    <t>BANTUAN OPERASIONAL KESEHATAN PUSKESMAS</t>
  </si>
  <si>
    <t>DANA ALOKASI KHUSUS NONFISIK BIDANG KESEHATAN TA 2026</t>
  </si>
  <si>
    <t>KABUPATEN KEPULAUAN ARU</t>
  </si>
  <si>
    <t>PAGU INDIKATIF</t>
  </si>
  <si>
    <t>NO</t>
  </si>
  <si>
    <t>KOMPONEN RINCIAN MENU KEGIATAN</t>
  </si>
  <si>
    <t>KOMPONEN PEMBIAYAAN</t>
  </si>
  <si>
    <t>URAIAN KOMPONEN</t>
  </si>
  <si>
    <t>SATUAN</t>
  </si>
  <si>
    <t>HARGA SATUAN</t>
  </si>
  <si>
    <t>SUB TOTAL</t>
  </si>
  <si>
    <t>JUMLAH TOTAL</t>
  </si>
  <si>
    <t>KODE KRISNA</t>
  </si>
  <si>
    <t>DETAIL</t>
  </si>
  <si>
    <t>Jumlah Total Kebutuhan Anggaran</t>
  </si>
  <si>
    <t>06.03.02.08</t>
  </si>
  <si>
    <t>Transport petugas</t>
  </si>
  <si>
    <t>Transportasi darat</t>
  </si>
  <si>
    <t>Org/Hr/Desa</t>
  </si>
  <si>
    <t>Org</t>
  </si>
  <si>
    <t>X</t>
  </si>
  <si>
    <t>Hr</t>
  </si>
  <si>
    <t>Desa</t>
  </si>
  <si>
    <t>Kl</t>
  </si>
  <si>
    <t>Transportasi laut</t>
  </si>
  <si>
    <t>Uang Harian (Jika lebih dari 8 jam)</t>
  </si>
  <si>
    <t>Pelacakan dan pelaporan kematian dan pelaksanaan otopsi verbal kematian Ibu dan Bayi/balita</t>
  </si>
  <si>
    <t>Pelacakan dan pelaporan kematian  Ibu dan Bayi/balita</t>
  </si>
  <si>
    <t>06.03.02.07</t>
  </si>
  <si>
    <t>Keg</t>
  </si>
  <si>
    <t>Kali</t>
  </si>
  <si>
    <t xml:space="preserve">penggandaan </t>
  </si>
  <si>
    <t>lbr</t>
  </si>
  <si>
    <t>0rg</t>
  </si>
  <si>
    <t>kali</t>
  </si>
  <si>
    <t>Pelaksanaan Kelas ibu Hamil dan Kelas Ibu Balita</t>
  </si>
  <si>
    <t>Pelaksanaan Kelas Ibu Hamil</t>
  </si>
  <si>
    <t>06.03.02.01</t>
  </si>
  <si>
    <t>Belanja Perjalanan Dinas Dalam Daerah</t>
  </si>
  <si>
    <t>- Transport darat</t>
  </si>
  <si>
    <t>- Transport laut</t>
  </si>
  <si>
    <t>- Snack</t>
  </si>
  <si>
    <t>Dos</t>
  </si>
  <si>
    <t>Pelaksanaan Kelas Ibu Balita</t>
  </si>
  <si>
    <t>- Uang Harian jika lebih dari 8 jam</t>
  </si>
  <si>
    <t>Pelayanan Kesehatan pada anak usia sekolah dan remaja (Skrining dan pembinaan di sekolah dan komunitas) dan pemantauan minum TTD</t>
  </si>
  <si>
    <t>Skrining CKG dan Pembinaan Kesehatan di SD</t>
  </si>
  <si>
    <t>06.03.02.05</t>
  </si>
  <si>
    <t>sekolah</t>
  </si>
  <si>
    <t>Skrining CKG dan Pembinaan Kesehatan di SMP dan SMA</t>
  </si>
  <si>
    <t>Pemantauan Minum TTD</t>
  </si>
  <si>
    <t>Skrining dan tindak lanjut hasil skrining masalah kesehatan jiwa di UKBM/Lembaga</t>
  </si>
  <si>
    <t>di posyandu dan sekolah (smp dan sma, sd yg 11 tahun)</t>
  </si>
  <si>
    <t>06.03.02.09</t>
  </si>
  <si>
    <t>Kunjungan lapangan pemantauan Tumbuh Kembang dan Masalah Gizi ibu dan anak</t>
  </si>
  <si>
    <t>Kunjungan lapangan pemantauan Tumbuh</t>
  </si>
  <si>
    <t>06.03.02.06</t>
  </si>
  <si>
    <t>Kunjungan lapangan pemantauan Masalah Gizi ibu dan anak</t>
  </si>
  <si>
    <t>Pendampingan rujukan balita stunting/gizi buruk</t>
  </si>
  <si>
    <t>06.03.02.03</t>
  </si>
  <si>
    <t>2'</t>
  </si>
  <si>
    <t>Surveilans, respons penyakit dan kesehatan lingkungan</t>
  </si>
  <si>
    <t>Pelayanan Imunisasi termasuk penemuan kasus KIPI dan PD3I</t>
  </si>
  <si>
    <t>Pelayanan Imunisasi Rutin Lengkap (IRL) termasuk Antigen Baru</t>
  </si>
  <si>
    <t>06.03.03.02</t>
  </si>
  <si>
    <t xml:space="preserve"> Transport Lokal</t>
  </si>
  <si>
    <t xml:space="preserve"> Transport Laut</t>
  </si>
  <si>
    <t xml:space="preserve">Uang harian </t>
  </si>
  <si>
    <t>Pelayanan Imunisasi Kejar</t>
  </si>
  <si>
    <t>Sosialisasi Penyelengaraan Imunisasi</t>
  </si>
  <si>
    <t>Penemuan Kasus KIPI</t>
  </si>
  <si>
    <t>Penemuan Kasus PD3i</t>
  </si>
  <si>
    <t xml:space="preserve">BIAS </t>
  </si>
  <si>
    <t>Deteksi dini dan cek kesehatan gratis pemantauan dan tindak lanjut penyakit tidak menular</t>
  </si>
  <si>
    <t>Pemeriksaan FR PTM</t>
  </si>
  <si>
    <t>Penggandaan form kegiatan</t>
  </si>
  <si>
    <t>Pelaksanaan Kujungan Rumah/Follow Up Klien UBM</t>
  </si>
  <si>
    <t>Tindak Lanjut PWS Penderita PTM</t>
  </si>
  <si>
    <t>Cek Kesehatan Gratis (CKG) PTM</t>
  </si>
  <si>
    <t>Inspeksi kesling di Sarana Tempat dan Fasilitas Umum (TFU), Sarana Tempat Pengelolaan Pangan (TPP), Sarana Air Minum (SAM), Fasyankes</t>
  </si>
  <si>
    <t>Inspeksi kesling di Sarana Tempat dan Fasilitas Umum (TFU)</t>
  </si>
  <si>
    <t>Inspeksi kesling di Sarana Air Minum (SAM)</t>
  </si>
  <si>
    <t>Pemberdayaan kader dalam rangka pencegahan dan pengendalian penyakit menular dan penyakit tidak menular, pelaksanaan imunisasi</t>
  </si>
  <si>
    <t>Pemberdayaan Kader dalam rangka penyelengaraan Program Imunisasi dan Surveilans PD3i</t>
  </si>
  <si>
    <t>Konsumsi</t>
  </si>
  <si>
    <t>Pemberdayaan Kader dalam rangka pelaksanaan Deteksi Dini PTM</t>
  </si>
  <si>
    <t>Pemberdayaan Kader dalam rangka pelaksanaan Deteksi Dini Penyakit Menular TB</t>
  </si>
  <si>
    <t>Pemberdayaan Kader dalam rangka Implementasi 5 Pilar STBM</t>
  </si>
  <si>
    <t>Penemuan kasus aktif dan pemantauan pengobatan TBC (Investigasi kontak TBC, pelacakan kasus TBC mangkir dan Pemantauan menelan obat TBC, pemberian terapi pencegahan TBC, penemuan kasus ILTB)</t>
  </si>
  <si>
    <t>Penemuan Kasus Aktif TBC</t>
  </si>
  <si>
    <t>Skrining dan Investigasi Kontak TBC</t>
  </si>
  <si>
    <t>Pelacakan kasus TBC Mangkir</t>
  </si>
  <si>
    <t>Pemantauan Menelan Obat TBC</t>
  </si>
  <si>
    <t>Penemuan dan tindak lanjut kasus aktif penyakit menular</t>
  </si>
  <si>
    <t>Penemuan dan tindak lanjut Penyakit Tropis terabaikan (Malaria)</t>
  </si>
  <si>
    <t>Pelaksanaan dan pemberian obat Pencegahan Massal (POPM) Penyakit Kecacingan, Filariasis, Frambusia</t>
  </si>
  <si>
    <t>Pemantauan bayi Usia 9-12 bulan yang lahir dari Ibu Hepatitis B dan pemantauan status Bayi dari ibu positif HIV/Sifilis</t>
  </si>
  <si>
    <t>Pemantauan Minum Obat Pneumonia; pemantauan minum Oralit dan Zinc pada balita Diare</t>
  </si>
  <si>
    <t>Penemuan Kasus Aktif Kusta dan komprofilaksis Kusta</t>
  </si>
  <si>
    <t xml:space="preserve">Penemuan kasus secara aktif kusta pada anak pra sekolah ( &gt; 2 Tahuan), anak sekolah dasar/MI, SMP/MTs dan Masyarakat yang beresiko dan pemberian kemoprofilaksis </t>
  </si>
  <si>
    <t xml:space="preserve"> </t>
  </si>
  <si>
    <t>Pemberian kemoprofilaksis Pada kasus kontak kusta dalam 5 tahun terakhir</t>
  </si>
  <si>
    <t>Survei dan pengendalian vektor</t>
  </si>
  <si>
    <t>Pengendalian Vektor Peberatasan Sarang Nyamuk (PSN) 3 M Plus</t>
  </si>
  <si>
    <t>Surveilans Migrasi Malaria</t>
  </si>
  <si>
    <t>Surveilans Kualitas Air Minum Rumah Tangga (KAMRT) dan Surveilans Kualitas Udara dalam Ruang</t>
  </si>
  <si>
    <t>Surveilans Kualitas Air Minum di Tingkat Rumah Tangga (SKAMRT)</t>
  </si>
  <si>
    <t>Verifikasi sinyal/rumor, PE/pelacakan kontak penyakit berpotensi KLB/Wabah, PE penyakit menular lainnya, keracunan makanan dan penyehatan lingkungan</t>
  </si>
  <si>
    <t>Penyelidikan Epidmiologi (PE) Penyakit Malaria</t>
  </si>
  <si>
    <t>3'</t>
  </si>
  <si>
    <t>Pemberian Makanan Tambahan (PMT) berbahan pangan lokal</t>
  </si>
  <si>
    <t>Belanja bahan, dan penyiapan PMT lokal Bumil KEK dan Risiko KEK</t>
  </si>
  <si>
    <t>06.03.01.02</t>
  </si>
  <si>
    <t xml:space="preserve"> Penyediaan bahan makanan tambahan berbasis pangan loka bagi Bumil KEK</t>
  </si>
  <si>
    <t>- Konsumsi</t>
  </si>
  <si>
    <t>Org/Hr/Desa/Keg</t>
  </si>
  <si>
    <t>x</t>
  </si>
  <si>
    <t>Wilker</t>
  </si>
  <si>
    <t>Belanja bahan, dan penyiapan PMT lokal Balita Bermasalah Gizi (gizi kurang, balita T, balita BB kurang)</t>
  </si>
  <si>
    <t>06.03.01.03</t>
  </si>
  <si>
    <t xml:space="preserve"> Penyediaan bahan makanan tambahan berbasis pangan loka bagi Balita gizi kurang</t>
  </si>
  <si>
    <t>Pembekalan dan evaluasi pelaksanaan Pemberian Makanan Tambahan (PMT) pemulihan berbahan pangan lokal</t>
  </si>
  <si>
    <t>06.03.01.01</t>
  </si>
  <si>
    <t>- Transport Petugas Puskesmas</t>
  </si>
  <si>
    <t>kl</t>
  </si>
  <si>
    <t xml:space="preserve">- Transport  darat Peserta (Kader/PKK) dari Desa </t>
  </si>
  <si>
    <t xml:space="preserve">- Transport  laut Peserta (Kader/PKK) dari Desa </t>
  </si>
  <si>
    <t>keg</t>
  </si>
  <si>
    <t>- Pembelian Bahan Makanan</t>
  </si>
  <si>
    <t>pkt/keg</t>
  </si>
  <si>
    <t>pkt</t>
  </si>
  <si>
    <t>MANAGEMEN PUSKESMAS</t>
  </si>
  <si>
    <t>Pendampingan pelaksanaan ILP di pustu dan Unit Pelayanan Kesehatan Desa/Kelurahan (UPKD/K)</t>
  </si>
  <si>
    <t>06.03.04.01</t>
  </si>
  <si>
    <t xml:space="preserve"> Belanja Perjalanan Dinas Dalam Daerah</t>
  </si>
  <si>
    <t xml:space="preserve">  Transport Lokal</t>
  </si>
  <si>
    <t xml:space="preserve">  Transport Nyebrang</t>
  </si>
  <si>
    <t>- Belanja Makan</t>
  </si>
  <si>
    <t>Makan</t>
  </si>
  <si>
    <t>Pkt</t>
  </si>
  <si>
    <t>org</t>
  </si>
  <si>
    <t>Langganan SIMPUS dan Dukungan Internet</t>
  </si>
  <si>
    <t>Langganan SIMPUS</t>
  </si>
  <si>
    <t>06.03.04.02</t>
  </si>
  <si>
    <t>Sewa Langganan</t>
  </si>
  <si>
    <t>layanan Simpus</t>
  </si>
  <si>
    <t>Dukungan internet dalam implementasi dashboard ILP dan ASIK</t>
  </si>
  <si>
    <t>06.03.04.03</t>
  </si>
  <si>
    <t>Sewa Langganan atau pembelian Pulsa</t>
  </si>
  <si>
    <t>layanan Internet</t>
  </si>
  <si>
    <t>Transport Kunjungan Rumah Kader Posyandu</t>
  </si>
  <si>
    <t>Kader</t>
  </si>
  <si>
    <t>06.03.04.05</t>
  </si>
  <si>
    <t>rmh</t>
  </si>
  <si>
    <t>Pembinaan Tata Kelola Penyelenggaraan UPKD/K</t>
  </si>
  <si>
    <t>06.03.04.04</t>
  </si>
  <si>
    <t xml:space="preserve">  Transport Laut</t>
  </si>
  <si>
    <t>desa</t>
  </si>
  <si>
    <t>Snak</t>
  </si>
  <si>
    <t>INSENTIF UKM</t>
  </si>
  <si>
    <t>Pemberian Insentif UKM bagi pegawai puskesmas</t>
  </si>
  <si>
    <t>ASN dan PPPK</t>
  </si>
  <si>
    <t>bln</t>
  </si>
  <si>
    <t>Mengetahui</t>
  </si>
  <si>
    <t>Kepala Dinas Kesehatan</t>
  </si>
  <si>
    <t>dr SAKTI ZAKARIA SITORUS</t>
  </si>
  <si>
    <t>NIP. 19760724 200604 1 010</t>
  </si>
  <si>
    <t>[[ITEM1_LABEL]]</t>
  </si>
  <si>
    <t>[[ITEM1_FACTOR1_VALUE]]</t>
  </si>
  <si>
    <t>[[ITEM1_FACTOR1_LABEL]]</t>
  </si>
  <si>
    <t>[[ITEM1_FACTOR2_VALUE]]</t>
  </si>
  <si>
    <t>[[ITEM1_FACTOR2_LABEL]]</t>
  </si>
  <si>
    <t>[[ITEM1_FACTOR3_VALUE]]</t>
  </si>
  <si>
    <t>[[ITEM1_FACTOR3_LABEL]]</t>
  </si>
  <si>
    <t>[[ITEM1_FACTOR4_VALUE]]</t>
  </si>
  <si>
    <t>[[ITEM1_FACTOR4_LABEL]]</t>
  </si>
  <si>
    <t>[[ITEM1_UNIT_PRICE]]</t>
  </si>
  <si>
    <t>[[ITEM1_SUBTOTAL]]</t>
  </si>
  <si>
    <t>[[ITEM2_LABEL]]</t>
  </si>
  <si>
    <t>[[ITEM2_FACTOR1_VALUE]]</t>
  </si>
  <si>
    <t>[[ITEM2_FACTOR1_LABEL]]</t>
  </si>
  <si>
    <t>[[ITEM2_FACTOR2_VALUE]]</t>
  </si>
  <si>
    <t>[[ITEM2_FACTOR2_LABEL]]</t>
  </si>
  <si>
    <t>[[ITEM2_FACTOR3_VALUE]]</t>
  </si>
  <si>
    <t>[[ITEM2_FACTOR3_LABEL]]</t>
  </si>
  <si>
    <t>[[ITEM2_FACTOR4_VALUE]]</t>
  </si>
  <si>
    <t>[[ITEM2_FACTOR4_LABEL]]</t>
  </si>
  <si>
    <t>[[ITEM2_UNIT_PRICE]]</t>
  </si>
  <si>
    <t>[[ITEM2_SUBTOTAL]]</t>
  </si>
  <si>
    <t>[[ITEM3_LABEL]]</t>
  </si>
  <si>
    <t>[[ITEM3_FACTOR1_VALUE]]</t>
  </si>
  <si>
    <t>[[ITEM3_FACTOR1_LABEL]]</t>
  </si>
  <si>
    <t>[[ITEM3_FACTOR2_VALUE]]</t>
  </si>
  <si>
    <t>[[ITEM3_FACTOR2_LABEL]]</t>
  </si>
  <si>
    <t>[[ITEM3_FACTOR3_VALUE]]</t>
  </si>
  <si>
    <t>[[ITEM3_FACTOR3_LABEL]]</t>
  </si>
  <si>
    <t>[[ITEM3_FACTOR4_VALUE]]</t>
  </si>
  <si>
    <t>[[ITEM3_FACTOR4_LABEL]]</t>
  </si>
  <si>
    <t>[[ITEM3_UNIT_PRICE]]</t>
  </si>
  <si>
    <t>[[ITEM3_SUBTOTAL]]</t>
  </si>
  <si>
    <t>[[ITEM4_LABEL]]</t>
  </si>
  <si>
    <t>[[ITEM4_FACTOR1_VALUE]]</t>
  </si>
  <si>
    <t>[[ITEM4_FACTOR1_LABEL]]</t>
  </si>
  <si>
    <t>[[ITEM4_FACTOR2_VALUE]]</t>
  </si>
  <si>
    <t>[[ITEM4_FACTOR2_LABEL]]</t>
  </si>
  <si>
    <t>[[ITEM4_FACTOR3_VALUE]]</t>
  </si>
  <si>
    <t>[[ITEM4_FACTOR3_LABEL]]</t>
  </si>
  <si>
    <t>[[ITEM4_UNIT_PRICE]]</t>
  </si>
  <si>
    <t>[[ITEM4_SUBTOTAL]]</t>
  </si>
  <si>
    <t>[[KEGIATAN]]</t>
  </si>
  <si>
    <t>[[KOMPONEN]]</t>
  </si>
  <si>
    <t>[[RINCIAN_MENU]]</t>
  </si>
  <si>
    <t>[[TOTAL]]</t>
  </si>
  <si>
    <t>[[RAB_BLOCK_START]]</t>
  </si>
  <si>
    <t>[[RAB_BLOCK_END]]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</si>
</sst>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(* #,##0_);_(* \(#,##0\);_(* &quot;-&quot;??_);_(@_)"/>
    <numFmt numFmtId="166" formatCode="_-* #,##0.00_-;\-* #,##0.00_-;_-* &quot;-&quot;??_-;_-@_-"/>
    <numFmt numFmtId="167" formatCode="_-[$Rp-421]* #,##0_-;\-[$Rp-421]* #,##0_-;_-[$Rp-421]* &quot;-&quot;_-;_-@_-"/>
    <numFmt numFmtId="168" formatCode="\-\ @"/>
    <numFmt numFmtId="169" formatCode="_-&quot;Rp&quot;* #,##0_-;\-&quot;Rp&quot;* #,##0_-;_-&quot;Rp&quot;* &quot;-&quot;_-;_-@_-"/>
    <numFmt numFmtId="170" formatCode="_-* #,##0_-;\-* #,##0_-;_-* &quot;-&quot;??_-;_-@_-"/>
  </numFmts>
  <fonts count="2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  <charset val="204"/>
    </font>
    <font>
      <sz val="9"/>
      <name val="Arial"/>
      <family val="2"/>
    </font>
    <font>
      <sz val="12"/>
      <name val="Times New Roman"/>
      <family val="1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Times New Roman"/>
      <family val="1"/>
    </font>
    <font>
      <sz val="12"/>
      <color theme="1"/>
      <name val="Calibri"/>
      <family val="2"/>
    </font>
    <font>
      <sz val="12"/>
      <name val="Calibri"/>
      <family val="2"/>
    </font>
    <font>
      <b/>
      <sz val="9"/>
      <name val="Arial"/>
      <family val="2"/>
    </font>
    <font>
      <b/>
      <sz val="11"/>
      <color rgb="FFFF000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u/>
      <sz val="12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b/>
      <sz val="12"/>
      <name val="Aptos Narrow"/>
      <scheme val="minor"/>
    </font>
    <font>
      <b/>
      <sz val="12"/>
      <color theme="1"/>
      <name val="Aptos Narrow"/>
      <scheme val="minor"/>
    </font>
    <font>
      <sz val="14"/>
      <color rgb="FFB91C1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DB9E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11" fillId="0" borderId="0">
      <alignment vertical="center"/>
    </xf>
    <xf numFmtId="0" fontId="8" fillId="0" borderId="0"/>
  </cellStyleXfs>
  <cellXfs count="219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164" fontId="0" fillId="0" borderId="0" xfId="2" applyFont="1"/>
    <xf numFmtId="164" fontId="0" fillId="3" borderId="0" xfId="0" applyNumberFormat="1" applyFill="1"/>
    <xf numFmtId="0" fontId="4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4" fontId="6" fillId="0" borderId="0" xfId="0" applyNumberFormat="1" applyFont="1"/>
    <xf numFmtId="164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7" borderId="0" xfId="0" applyNumberFormat="1" applyFont="1" applyFill="1"/>
    <xf numFmtId="164" fontId="5" fillId="7" borderId="0" xfId="0" applyNumberFormat="1" applyFont="1" applyFill="1"/>
    <xf numFmtId="0" fontId="5" fillId="7" borderId="0" xfId="0" applyFont="1" applyFill="1"/>
    <xf numFmtId="164" fontId="5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9" fillId="0" borderId="1" xfId="3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164" fontId="5" fillId="0" borderId="1" xfId="2" applyFont="1" applyFill="1" applyBorder="1" applyAlignment="1">
      <alignment horizontal="center" vertical="center"/>
    </xf>
    <xf numFmtId="0" fontId="11" fillId="0" borderId="1" xfId="4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0" xfId="0" applyFont="1"/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8" borderId="0" xfId="0" applyNumberFormat="1" applyFill="1"/>
    <xf numFmtId="0" fontId="0" fillId="8" borderId="0" xfId="0" applyFill="1"/>
    <xf numFmtId="164" fontId="0" fillId="3" borderId="1" xfId="0" applyNumberForma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/>
    </xf>
    <xf numFmtId="0" fontId="9" fillId="8" borderId="1" xfId="3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0" fontId="0" fillId="8" borderId="1" xfId="0" quotePrefix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2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12" fillId="8" borderId="0" xfId="0" applyNumberFormat="1" applyFont="1" applyFill="1"/>
    <xf numFmtId="0" fontId="4" fillId="8" borderId="1" xfId="0" quotePrefix="1" applyFont="1" applyFill="1" applyBorder="1" applyAlignment="1">
      <alignment vertical="center"/>
    </xf>
    <xf numFmtId="0" fontId="11" fillId="8" borderId="1" xfId="4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164" fontId="5" fillId="8" borderId="0" xfId="0" applyNumberFormat="1" applyFont="1" applyFill="1"/>
    <xf numFmtId="0" fontId="5" fillId="8" borderId="0" xfId="0" applyFont="1" applyFill="1"/>
    <xf numFmtId="20" fontId="14" fillId="8" borderId="1" xfId="0" quotePrefix="1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4" fontId="0" fillId="9" borderId="0" xfId="0" applyNumberFormat="1" applyFill="1"/>
    <xf numFmtId="0" fontId="0" fillId="9" borderId="0" xfId="0" applyFill="1"/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vertical="center" wrapText="1"/>
    </xf>
    <xf numFmtId="0" fontId="5" fillId="8" borderId="1" xfId="0" quotePrefix="1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164" fontId="11" fillId="10" borderId="1" xfId="2" applyFont="1" applyFill="1" applyBorder="1" applyAlignment="1" applyProtection="1">
      <alignment horizontal="center" vertical="center"/>
    </xf>
    <xf numFmtId="0" fontId="7" fillId="8" borderId="1" xfId="0" quotePrefix="1" applyFont="1" applyFill="1" applyBorder="1" applyAlignment="1">
      <alignment vertical="center"/>
    </xf>
    <xf numFmtId="0" fontId="11" fillId="10" borderId="1" xfId="4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165" fontId="10" fillId="0" borderId="1" xfId="1" applyNumberFormat="1" applyFont="1" applyBorder="1" applyAlignment="1">
      <alignment horizontal="center" vertical="center"/>
    </xf>
    <xf numFmtId="0" fontId="10" fillId="8" borderId="1" xfId="0" quotePrefix="1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/>
    </xf>
    <xf numFmtId="3" fontId="10" fillId="8" borderId="1" xfId="0" applyNumberFormat="1" applyFont="1" applyFill="1" applyBorder="1" applyAlignment="1">
      <alignment horizontal="center" vertical="center"/>
    </xf>
    <xf numFmtId="20" fontId="14" fillId="12" borderId="1" xfId="0" quotePrefix="1" applyNumberFormat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vertical="center"/>
    </xf>
    <xf numFmtId="164" fontId="14" fillId="12" borderId="1" xfId="0" applyNumberFormat="1" applyFont="1" applyFill="1" applyBorder="1" applyAlignment="1">
      <alignment horizontal="center" vertical="center"/>
    </xf>
    <xf numFmtId="167" fontId="6" fillId="8" borderId="0" xfId="0" applyNumberFormat="1" applyFont="1" applyFill="1"/>
    <xf numFmtId="164" fontId="14" fillId="11" borderId="1" xfId="0" applyNumberFormat="1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168" fontId="15" fillId="8" borderId="1" xfId="0" applyNumberFormat="1" applyFont="1" applyFill="1" applyBorder="1" applyAlignment="1">
      <alignment horizontal="left" vertical="center" wrapText="1"/>
    </xf>
    <xf numFmtId="168" fontId="15" fillId="8" borderId="1" xfId="0" quotePrefix="1" applyNumberFormat="1" applyFont="1" applyFill="1" applyBorder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167" fontId="15" fillId="8" borderId="1" xfId="2" applyNumberFormat="1" applyFont="1" applyFill="1" applyBorder="1" applyAlignment="1">
      <alignment horizontal="center" vertical="center"/>
    </xf>
    <xf numFmtId="167" fontId="15" fillId="8" borderId="1" xfId="0" applyNumberFormat="1" applyFont="1" applyFill="1" applyBorder="1" applyAlignment="1">
      <alignment horizontal="center" vertical="center"/>
    </xf>
    <xf numFmtId="167" fontId="12" fillId="9" borderId="0" xfId="0" applyNumberFormat="1" applyFont="1" applyFill="1"/>
    <xf numFmtId="0" fontId="15" fillId="8" borderId="1" xfId="0" applyFont="1" applyFill="1" applyBorder="1" applyAlignment="1">
      <alignment horizontal="left"/>
    </xf>
    <xf numFmtId="167" fontId="14" fillId="11" borderId="1" xfId="0" applyNumberFormat="1" applyFont="1" applyFill="1" applyBorder="1" applyAlignment="1">
      <alignment horizontal="center" vertical="center"/>
    </xf>
    <xf numFmtId="20" fontId="2" fillId="8" borderId="1" xfId="0" quotePrefix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horizontal="center" vertical="center"/>
    </xf>
    <xf numFmtId="168" fontId="1" fillId="8" borderId="1" xfId="0" quotePrefix="1" applyNumberFormat="1" applyFont="1" applyFill="1" applyBorder="1" applyAlignment="1">
      <alignment vertical="center"/>
    </xf>
    <xf numFmtId="167" fontId="17" fillId="8" borderId="1" xfId="2" applyNumberFormat="1" applyFont="1" applyFill="1" applyBorder="1" applyAlignment="1" applyProtection="1">
      <alignment horizontal="center" vertical="center"/>
    </xf>
    <xf numFmtId="167" fontId="17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vertical="center"/>
    </xf>
    <xf numFmtId="0" fontId="14" fillId="11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left"/>
    </xf>
    <xf numFmtId="167" fontId="1" fillId="8" borderId="1" xfId="2" applyNumberFormat="1" applyFont="1" applyFill="1" applyBorder="1" applyAlignment="1">
      <alignment horizontal="center" vertical="center"/>
    </xf>
    <xf numFmtId="167" fontId="1" fillId="8" borderId="1" xfId="0" applyNumberFormat="1" applyFont="1" applyFill="1" applyBorder="1" applyAlignment="1">
      <alignment horizontal="center" vertical="center"/>
    </xf>
    <xf numFmtId="164" fontId="15" fillId="11" borderId="1" xfId="0" applyNumberFormat="1" applyFont="1" applyFill="1" applyBorder="1" applyAlignment="1">
      <alignment horizontal="center" vertical="center"/>
    </xf>
    <xf numFmtId="167" fontId="18" fillId="11" borderId="1" xfId="0" applyNumberFormat="1" applyFont="1" applyFill="1" applyBorder="1" applyAlignment="1">
      <alignment horizontal="center" vertical="center" wrapText="1"/>
    </xf>
    <xf numFmtId="20" fontId="4" fillId="5" borderId="1" xfId="0" quotePrefix="1" applyNumberFormat="1" applyFont="1" applyFill="1" applyBorder="1" applyAlignment="1">
      <alignment horizontal="center" vertical="center"/>
    </xf>
    <xf numFmtId="169" fontId="5" fillId="11" borderId="1" xfId="0" applyNumberFormat="1" applyFont="1" applyFill="1" applyBorder="1" applyAlignment="1">
      <alignment horizontal="center" vertical="center"/>
    </xf>
    <xf numFmtId="170" fontId="5" fillId="8" borderId="0" xfId="1" applyNumberFormat="1" applyFont="1" applyFill="1"/>
    <xf numFmtId="0" fontId="9" fillId="8" borderId="1" xfId="0" applyFont="1" applyFill="1" applyBorder="1" applyAlignment="1">
      <alignment horizontal="center" vertical="center" wrapText="1"/>
    </xf>
    <xf numFmtId="0" fontId="0" fillId="8" borderId="1" xfId="0" quotePrefix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7" fontId="11" fillId="10" borderId="1" xfId="2" applyNumberFormat="1" applyFont="1" applyFill="1" applyBorder="1" applyAlignment="1" applyProtection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167" fontId="0" fillId="8" borderId="1" xfId="0" applyNumberFormat="1" applyFill="1" applyBorder="1" applyAlignment="1">
      <alignment horizontal="center" vertical="center"/>
    </xf>
    <xf numFmtId="0" fontId="19" fillId="8" borderId="1" xfId="5" applyFont="1" applyFill="1" applyBorder="1" applyAlignment="1">
      <alignment horizontal="left" vertical="top" wrapText="1"/>
    </xf>
    <xf numFmtId="164" fontId="12" fillId="0" borderId="0" xfId="2" applyFont="1"/>
    <xf numFmtId="0" fontId="9" fillId="8" borderId="1" xfId="0" applyFont="1" applyFill="1" applyBorder="1" applyAlignment="1">
      <alignment horizontal="left" vertical="top" wrapText="1"/>
    </xf>
    <xf numFmtId="164" fontId="11" fillId="0" borderId="1" xfId="2" applyFont="1" applyBorder="1" applyAlignment="1" applyProtection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/>
    </xf>
    <xf numFmtId="164" fontId="7" fillId="5" borderId="1" xfId="0" applyNumberFormat="1" applyFont="1" applyFill="1" applyBorder="1" applyAlignment="1">
      <alignment horizontal="center" vertical="center"/>
    </xf>
    <xf numFmtId="169" fontId="6" fillId="8" borderId="0" xfId="0" applyNumberFormat="1" applyFont="1" applyFill="1"/>
    <xf numFmtId="164" fontId="5" fillId="0" borderId="0" xfId="0" applyNumberFormat="1" applyFont="1"/>
    <xf numFmtId="0" fontId="5" fillId="8" borderId="1" xfId="0" applyFont="1" applyFill="1" applyBorder="1" applyAlignment="1">
      <alignment horizontal="center" wrapText="1"/>
    </xf>
    <xf numFmtId="168" fontId="5" fillId="8" borderId="1" xfId="0" applyNumberFormat="1" applyFont="1" applyFill="1" applyBorder="1" applyAlignment="1">
      <alignment horizontal="center" vertical="top" wrapText="1"/>
    </xf>
    <xf numFmtId="168" fontId="5" fillId="8" borderId="1" xfId="0" applyNumberFormat="1" applyFont="1" applyFill="1" applyBorder="1" applyAlignment="1">
      <alignment vertical="center"/>
    </xf>
    <xf numFmtId="0" fontId="5" fillId="8" borderId="1" xfId="0" applyFont="1" applyFill="1" applyBorder="1" applyAlignment="1">
      <alignment horizontal="center" vertical="center" wrapText="1"/>
    </xf>
    <xf numFmtId="167" fontId="5" fillId="8" borderId="1" xfId="2" applyNumberFormat="1" applyFont="1" applyFill="1" applyBorder="1" applyAlignment="1">
      <alignment horizontal="center" vertical="center"/>
    </xf>
    <xf numFmtId="164" fontId="5" fillId="0" borderId="0" xfId="2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8" borderId="1" xfId="0" applyFont="1" applyFill="1" applyBorder="1" applyAlignment="1">
      <alignment horizontal="center" vertical="top"/>
    </xf>
    <xf numFmtId="0" fontId="5" fillId="8" borderId="1" xfId="0" quotePrefix="1" applyFont="1" applyFill="1" applyBorder="1" applyAlignment="1">
      <alignment horizontal="left"/>
    </xf>
    <xf numFmtId="168" fontId="5" fillId="8" borderId="1" xfId="0" quotePrefix="1" applyNumberFormat="1" applyFont="1" applyFill="1" applyBorder="1" applyAlignment="1">
      <alignment vertical="center"/>
    </xf>
    <xf numFmtId="170" fontId="12" fillId="0" borderId="0" xfId="0" applyNumberFormat="1" applyFont="1"/>
    <xf numFmtId="164" fontId="5" fillId="0" borderId="0" xfId="2" applyFont="1"/>
    <xf numFmtId="169" fontId="5" fillId="3" borderId="1" xfId="0" applyNumberFormat="1" applyFont="1" applyFill="1" applyBorder="1" applyAlignment="1">
      <alignment horizontal="center" vertical="center"/>
    </xf>
    <xf numFmtId="0" fontId="5" fillId="9" borderId="0" xfId="0" applyFont="1" applyFill="1"/>
    <xf numFmtId="168" fontId="18" fillId="10" borderId="1" xfId="0" quotePrefix="1" applyNumberFormat="1" applyFont="1" applyFill="1" applyBorder="1" applyAlignment="1">
      <alignment horizontal="left" vertical="center" wrapText="1"/>
    </xf>
    <xf numFmtId="168" fontId="18" fillId="10" borderId="1" xfId="0" quotePrefix="1" applyNumberFormat="1" applyFont="1" applyFill="1" applyBorder="1" applyAlignment="1">
      <alignment vertical="center" wrapText="1"/>
    </xf>
    <xf numFmtId="168" fontId="18" fillId="8" borderId="1" xfId="0" quotePrefix="1" applyNumberFormat="1" applyFont="1" applyFill="1" applyBorder="1" applyAlignment="1">
      <alignment horizontal="left" vertical="center" wrapText="1"/>
    </xf>
    <xf numFmtId="168" fontId="18" fillId="8" borderId="1" xfId="0" quotePrefix="1" applyNumberFormat="1" applyFont="1" applyFill="1" applyBorder="1" applyAlignment="1">
      <alignment vertical="center" wrapText="1"/>
    </xf>
    <xf numFmtId="164" fontId="5" fillId="8" borderId="0" xfId="2" applyFont="1" applyFill="1" applyAlignment="1">
      <alignment horizontal="center"/>
    </xf>
    <xf numFmtId="164" fontId="5" fillId="9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70" fontId="12" fillId="8" borderId="0" xfId="1" applyNumberFormat="1" applyFont="1" applyFill="1"/>
    <xf numFmtId="0" fontId="7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horizontal="center" vertical="center"/>
    </xf>
    <xf numFmtId="0" fontId="12" fillId="0" borderId="0" xfId="0" applyFont="1"/>
    <xf numFmtId="0" fontId="2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164" fontId="20" fillId="3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 wrapText="1"/>
    </xf>
    <xf numFmtId="164" fontId="11" fillId="10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2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11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49" fontId="23" fillId="8" borderId="1" xfId="0" quotePrefix="1" applyNumberFormat="1" applyFont="1" applyFill="1" applyBorder="1" applyAlignment="1">
      <alignment vertical="center"/>
    </xf>
    <xf numFmtId="0" fontId="23" fillId="8" borderId="1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164" fontId="24" fillId="8" borderId="1" xfId="2" applyFont="1" applyFill="1" applyBorder="1" applyAlignment="1">
      <alignment horizontal="right" vertical="center"/>
    </xf>
    <xf numFmtId="164" fontId="24" fillId="8" borderId="1" xfId="0" applyNumberFormat="1" applyFont="1" applyFill="1" applyBorder="1" applyAlignment="1">
      <alignment horizontal="right" vertical="center"/>
    </xf>
    <xf numFmtId="0" fontId="25" fillId="8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0" fontId="26" fillId="6" borderId="2" xfId="0" applyFont="1" applyFill="1" applyBorder="1" applyAlignment="1">
      <alignment vertical="center" wrapText="1"/>
    </xf>
    <xf numFmtId="0" fontId="26" fillId="6" borderId="3" xfId="0" applyFont="1" applyFill="1" applyBorder="1" applyAlignment="1">
      <alignment vertical="center" wrapText="1"/>
    </xf>
    <xf numFmtId="0" fontId="26" fillId="6" borderId="4" xfId="0" applyFont="1" applyFill="1" applyBorder="1" applyAlignment="1">
      <alignment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26" fillId="5" borderId="4" xfId="0" applyFont="1" applyFill="1" applyBorder="1" applyAlignment="1">
      <alignment horizontal="left" vertical="center" wrapText="1"/>
    </xf>
    <xf numFmtId="164" fontId="23" fillId="3" borderId="1" xfId="0" applyNumberFormat="1" applyFont="1" applyFill="1" applyBorder="1" applyAlignment="1">
      <alignment horizontal="center" vertical="center"/>
    </xf>
    <xf numFmtId="0" fontId="27" fillId="0" borderId="0" xfId="0" applyFont="1"/>
  </cellXfs>
  <cellStyles count="6">
    <cellStyle name="Comma" xfId="1" builtinId="3"/>
    <cellStyle name="Comma [0]" xfId="2" builtinId="6"/>
    <cellStyle name="Normal" xfId="0" builtinId="0"/>
    <cellStyle name="Normal 2" xfId="3" xr:uid="{92BBC3F4-378C-3D4B-A952-B6DA43B2BEA1}"/>
    <cellStyle name="Normal 2 2" xfId="4" xr:uid="{6E0227D7-ED5E-AB4B-886F-EA82EFFD1FFF}"/>
    <cellStyle name="Normal 2 3" xfId="5" xr:uid="{1A1240DF-D4B6-9B4F-AA4E-4AF2BC705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USKESMAS%20SIWA%205/KAPUS/2018/BOK/POA%20ok%202018%20re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SIP%20BOK/ARSIP%20BOK%202022/Insentif%20UKM/Realisasi/LAPORAN%20JKN%202015/LAPORAN%20JKN/DAFTAR%20BAYAR%202015/devi/My%20Documents/My%20Documents/Gufr@n/Rapel/kwitans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STA"/>
      <sheetName val="LANSIA (5)"/>
      <sheetName val="ESORGA"/>
      <sheetName val="KESKER"/>
      <sheetName val="PTM"/>
      <sheetName val="LANSIA"/>
      <sheetName val="PROMKES"/>
      <sheetName val="KESLING"/>
      <sheetName val="UKS"/>
      <sheetName val="TB"/>
      <sheetName val="GIZI"/>
      <sheetName val="KIA"/>
      <sheetName val="Malaria"/>
      <sheetName val="Realisasi umum"/>
      <sheetName val="II"/>
      <sheetName val="III"/>
      <sheetName val="Cover"/>
      <sheetName val="RAB PIS -PK"/>
      <sheetName val="IMUNISASI"/>
      <sheetName val="IMUNISASI (2)"/>
      <sheetName val="sisa"/>
      <sheetName val="IV"/>
      <sheetName val="V"/>
      <sheetName val="VI"/>
      <sheetName val="VII"/>
      <sheetName val="Master POA Fix"/>
      <sheetName val="Master Revisi Nov"/>
      <sheetName val="sk"/>
      <sheetName val="hit"/>
      <sheetName val="VIII"/>
      <sheetName val="IX"/>
      <sheetName val="RINCIAN REALISASI-B"/>
      <sheetName val="RINCIAN DANA - B"/>
      <sheetName val="RBA"/>
      <sheetName val="I"/>
      <sheetName val="X"/>
      <sheetName val="XI"/>
      <sheetName val="XII"/>
      <sheetName val="RINCIAN DANA-A"/>
      <sheetName val="RINCIAN REALISASI-A"/>
      <sheetName val="REALISASI"/>
      <sheetName val="RUKSL REVisi (2)"/>
      <sheetName val="Cover Master"/>
      <sheetName val="BKU"/>
      <sheetName val="KOP BKU"/>
      <sheetName val="Sheet4"/>
      <sheetName val="Master POA"/>
      <sheetName val="Sheet1"/>
      <sheetName val="RBA rev 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kwitansi"/>
      <sheetName val="proses"/>
    </sheetNames>
    <sheetDataSet>
      <sheetData sheetId="0" refreshError="1"/>
      <sheetData sheetId="1">
        <row r="21">
          <cell r="I21">
            <v>14785412365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8DEE-DB56-E847-B448-C39E083EC51D}">
  <sheetPr>
    <tabColor rgb="FF00B0F0"/>
  </sheetPr>
  <dimension ref="A1:Y250"/>
  <sheetViews>
    <sheetView tabSelected="1" view="pageBreakPreview" topLeftCell="A224" zoomScale="93" zoomScaleNormal="91" zoomScaleSheetLayoutView="65" workbookViewId="0">
      <selection activeCell="C242" sqref="C242"/>
    </sheetView>
  </sheetViews>
  <sheetFormatPr baseColWidth="10" defaultColWidth="8.83203125" defaultRowHeight="15" x14ac:dyDescent="0.2"/>
  <cols>
    <col min="1" max="1" width="5.1640625" style="175" customWidth="1"/>
    <col min="2" max="2" width="4.1640625" style="175" customWidth="1"/>
    <col min="3" max="3" width="29.5" customWidth="1"/>
    <col min="4" max="4" width="15.83203125" style="175" customWidth="1"/>
    <col min="5" max="5" width="23" customWidth="1"/>
    <col min="6" max="6" width="34" style="176" customWidth="1"/>
    <col min="7" max="7" width="17.33203125" style="175" customWidth="1"/>
    <col min="8" max="8" width="6.1640625" style="177" customWidth="1"/>
    <col min="9" max="9" width="4.5" style="177" customWidth="1"/>
    <col min="10" max="10" width="2.5" style="177" customWidth="1"/>
    <col min="11" max="12" width="4.5" style="177" customWidth="1"/>
    <col min="13" max="13" width="2.5" style="177" customWidth="1"/>
    <col min="14" max="14" width="6.5" style="177" customWidth="1"/>
    <col min="15" max="15" width="9.1640625" style="177" customWidth="1"/>
    <col min="16" max="16" width="2.5" style="177" customWidth="1"/>
    <col min="17" max="17" width="5.5" style="177" customWidth="1"/>
    <col min="18" max="18" width="10.5" style="177" customWidth="1"/>
    <col min="19" max="19" width="13.83203125" style="177" customWidth="1"/>
    <col min="20" max="20" width="18.6640625" style="177" customWidth="1"/>
    <col min="21" max="21" width="20.5" style="175" customWidth="1"/>
    <col min="22" max="22" width="16.5" customWidth="1"/>
    <col min="23" max="23" width="19.5" customWidth="1"/>
    <col min="24" max="24" width="18.5" customWidth="1"/>
  </cols>
  <sheetData>
    <row r="1" spans="1:24" x14ac:dyDescent="0.2">
      <c r="A1" s="200" t="s">
        <v>0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</row>
    <row r="2" spans="1:24" x14ac:dyDescent="0.2">
      <c r="A2" s="200" t="s">
        <v>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</row>
    <row r="3" spans="1:24" x14ac:dyDescent="0.2">
      <c r="A3" s="200" t="s">
        <v>2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</row>
    <row r="4" spans="1:24" x14ac:dyDescent="0.2">
      <c r="A4" s="200" t="s">
        <v>3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</row>
    <row r="5" spans="1:24" ht="18" x14ac:dyDescent="0.2">
      <c r="A5" s="218" t="s">
        <v>214</v>
      </c>
    </row>
    <row r="6" spans="1:24" x14ac:dyDescent="0.2">
      <c r="A6" s="201" t="s">
        <v>4</v>
      </c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1">
        <v>1077137000</v>
      </c>
    </row>
    <row r="7" spans="1:24" ht="26.25" customHeight="1" x14ac:dyDescent="0.2">
      <c r="A7" s="202" t="s">
        <v>5</v>
      </c>
      <c r="B7" s="202"/>
      <c r="C7" s="198" t="s">
        <v>6</v>
      </c>
      <c r="D7" s="198" t="s">
        <v>7</v>
      </c>
      <c r="E7" s="198"/>
      <c r="F7" s="203" t="s">
        <v>8</v>
      </c>
      <c r="G7" s="198" t="s">
        <v>9</v>
      </c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 t="s">
        <v>10</v>
      </c>
      <c r="T7" s="197" t="s">
        <v>11</v>
      </c>
      <c r="U7" s="198" t="s">
        <v>12</v>
      </c>
    </row>
    <row r="8" spans="1:24" ht="16" x14ac:dyDescent="0.2">
      <c r="A8" s="202"/>
      <c r="B8" s="202"/>
      <c r="C8" s="198"/>
      <c r="D8" s="3" t="s">
        <v>13</v>
      </c>
      <c r="E8" s="2" t="s">
        <v>14</v>
      </c>
      <c r="F8" s="203"/>
      <c r="G8" s="198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8"/>
    </row>
    <row r="9" spans="1:24" ht="26" customHeight="1" x14ac:dyDescent="0.2">
      <c r="A9" s="199" t="s">
        <v>15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4">
        <f>SUM(U10,U64,U210,U221,U238)</f>
        <v>952807960</v>
      </c>
      <c r="V9" s="5"/>
      <c r="W9" s="6"/>
      <c r="X9" s="7"/>
    </row>
    <row r="10" spans="1:24" ht="41.5" customHeight="1" x14ac:dyDescent="0.2">
      <c r="A10" s="8">
        <v>1</v>
      </c>
      <c r="B10" s="9"/>
      <c r="C10" s="214" t="s">
        <v>211</v>
      </c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6"/>
      <c r="U10" s="10">
        <f>SUM(U11,U17,U23,U34,U47,U51,U60)</f>
        <v>185477500</v>
      </c>
      <c r="V10" s="11"/>
      <c r="W10" s="12"/>
    </row>
    <row r="11" spans="1:24" s="18" customFormat="1" ht="31.25" customHeight="1" x14ac:dyDescent="0.2">
      <c r="A11" s="13"/>
      <c r="B11" s="14">
        <v>1</v>
      </c>
      <c r="C11" s="211" t="s">
        <v>212</v>
      </c>
      <c r="D11" s="212"/>
      <c r="E11" s="212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3"/>
      <c r="U11" s="217" t="s">
        <v>213</v>
      </c>
      <c r="V11" s="16"/>
      <c r="W11" s="17"/>
    </row>
    <row r="12" spans="1:24" s="18" customFormat="1" ht="26" customHeight="1" x14ac:dyDescent="0.2">
      <c r="A12" s="13"/>
      <c r="B12" s="14"/>
      <c r="C12" s="210" t="s">
        <v>210</v>
      </c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19">
        <f>SUM(T13:T16)</f>
        <v>0</v>
      </c>
      <c r="W12" s="17"/>
    </row>
    <row r="13" spans="1:24" s="18" customFormat="1" ht="30" customHeight="1" x14ac:dyDescent="0.2">
      <c r="A13" s="13"/>
      <c r="B13" s="14"/>
      <c r="C13" s="20"/>
      <c r="D13" s="21" t="s">
        <v>16</v>
      </c>
      <c r="E13" s="22" t="s">
        <v>17</v>
      </c>
      <c r="F13" s="204" t="s">
        <v>168</v>
      </c>
      <c r="G13" s="205" t="s">
        <v>19</v>
      </c>
      <c r="H13" s="206" t="s">
        <v>169</v>
      </c>
      <c r="I13" s="206" t="s">
        <v>170</v>
      </c>
      <c r="J13" s="206" t="s">
        <v>21</v>
      </c>
      <c r="K13" s="206" t="s">
        <v>171</v>
      </c>
      <c r="L13" s="206" t="s">
        <v>172</v>
      </c>
      <c r="M13" s="206" t="s">
        <v>21</v>
      </c>
      <c r="N13" s="206" t="s">
        <v>173</v>
      </c>
      <c r="O13" s="206" t="s">
        <v>174</v>
      </c>
      <c r="P13" s="206" t="s">
        <v>21</v>
      </c>
      <c r="Q13" s="206" t="s">
        <v>175</v>
      </c>
      <c r="R13" s="206" t="s">
        <v>176</v>
      </c>
      <c r="S13" s="207" t="s">
        <v>177</v>
      </c>
      <c r="T13" s="208" t="s">
        <v>178</v>
      </c>
      <c r="U13" s="27"/>
      <c r="W13" s="17"/>
    </row>
    <row r="14" spans="1:24" s="18" customFormat="1" ht="30" customHeight="1" x14ac:dyDescent="0.2">
      <c r="A14" s="13"/>
      <c r="B14" s="14"/>
      <c r="C14" s="20"/>
      <c r="D14" s="14"/>
      <c r="E14" s="23"/>
      <c r="F14" s="204" t="s">
        <v>179</v>
      </c>
      <c r="G14" s="205" t="s">
        <v>19</v>
      </c>
      <c r="H14" s="206" t="s">
        <v>180</v>
      </c>
      <c r="I14" s="206" t="s">
        <v>181</v>
      </c>
      <c r="J14" s="206" t="s">
        <v>21</v>
      </c>
      <c r="K14" s="206" t="s">
        <v>182</v>
      </c>
      <c r="L14" s="206" t="s">
        <v>183</v>
      </c>
      <c r="M14" s="206" t="s">
        <v>21</v>
      </c>
      <c r="N14" s="206" t="s">
        <v>184</v>
      </c>
      <c r="O14" s="206" t="s">
        <v>185</v>
      </c>
      <c r="P14" s="206" t="s">
        <v>21</v>
      </c>
      <c r="Q14" s="206" t="s">
        <v>186</v>
      </c>
      <c r="R14" s="206" t="s">
        <v>187</v>
      </c>
      <c r="S14" s="207" t="s">
        <v>188</v>
      </c>
      <c r="T14" s="208" t="s">
        <v>189</v>
      </c>
      <c r="U14" s="27"/>
      <c r="W14" s="17"/>
    </row>
    <row r="15" spans="1:24" s="18" customFormat="1" ht="30" customHeight="1" x14ac:dyDescent="0.2">
      <c r="A15" s="13"/>
      <c r="B15" s="14"/>
      <c r="C15" s="20"/>
      <c r="D15" s="14"/>
      <c r="E15" s="23"/>
      <c r="F15" s="204" t="s">
        <v>190</v>
      </c>
      <c r="G15" s="205" t="s">
        <v>19</v>
      </c>
      <c r="H15" s="206" t="s">
        <v>191</v>
      </c>
      <c r="I15" s="206" t="s">
        <v>192</v>
      </c>
      <c r="J15" s="206" t="s">
        <v>21</v>
      </c>
      <c r="K15" s="206" t="s">
        <v>193</v>
      </c>
      <c r="L15" s="206" t="s">
        <v>194</v>
      </c>
      <c r="M15" s="206" t="s">
        <v>21</v>
      </c>
      <c r="N15" s="206" t="s">
        <v>195</v>
      </c>
      <c r="O15" s="206" t="s">
        <v>196</v>
      </c>
      <c r="P15" s="206" t="s">
        <v>21</v>
      </c>
      <c r="Q15" s="206" t="s">
        <v>197</v>
      </c>
      <c r="R15" s="206" t="s">
        <v>198</v>
      </c>
      <c r="S15" s="207" t="s">
        <v>199</v>
      </c>
      <c r="T15" s="208" t="s">
        <v>200</v>
      </c>
      <c r="U15" s="27"/>
      <c r="W15" s="17"/>
    </row>
    <row r="16" spans="1:24" s="18" customFormat="1" ht="30" customHeight="1" x14ac:dyDescent="0.2">
      <c r="A16" s="13"/>
      <c r="B16" s="14"/>
      <c r="C16" s="20"/>
      <c r="D16" s="14"/>
      <c r="E16" s="23"/>
      <c r="F16" s="204" t="s">
        <v>201</v>
      </c>
      <c r="G16" s="205"/>
      <c r="H16" s="209"/>
      <c r="I16" s="209"/>
      <c r="J16" s="209"/>
      <c r="K16" s="206" t="s">
        <v>202</v>
      </c>
      <c r="L16" s="206" t="s">
        <v>203</v>
      </c>
      <c r="M16" s="206" t="s">
        <v>21</v>
      </c>
      <c r="N16" s="206" t="s">
        <v>204</v>
      </c>
      <c r="O16" s="206" t="s">
        <v>205</v>
      </c>
      <c r="P16" s="206" t="s">
        <v>21</v>
      </c>
      <c r="Q16" s="206" t="s">
        <v>206</v>
      </c>
      <c r="R16" s="206" t="s">
        <v>207</v>
      </c>
      <c r="S16" s="207" t="s">
        <v>208</v>
      </c>
      <c r="T16" s="208" t="s">
        <v>209</v>
      </c>
      <c r="U16" s="27"/>
      <c r="W16" s="17"/>
    </row>
    <row r="17" spans="1:23" s="18" customFormat="1" ht="30.5" customHeight="1" x14ac:dyDescent="0.2">
      <c r="A17" s="13"/>
      <c r="B17" s="14">
        <v>2</v>
      </c>
      <c r="C17" s="192" t="s">
        <v>27</v>
      </c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5">
        <f>U18</f>
        <v>2437500</v>
      </c>
      <c r="W17" s="17"/>
    </row>
    <row r="18" spans="1:23" s="18" customFormat="1" ht="26" customHeight="1" x14ac:dyDescent="0.2">
      <c r="A18" s="13"/>
      <c r="B18" s="14"/>
      <c r="C18" s="180" t="s">
        <v>28</v>
      </c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9">
        <f>SUM(T19:T20,T22)</f>
        <v>2437500</v>
      </c>
      <c r="W18" s="17"/>
    </row>
    <row r="19" spans="1:23" s="18" customFormat="1" ht="31.25" customHeight="1" x14ac:dyDescent="0.2">
      <c r="A19" s="13"/>
      <c r="B19" s="14"/>
      <c r="C19" s="28"/>
      <c r="D19" s="21" t="s">
        <v>29</v>
      </c>
      <c r="E19" s="22" t="s">
        <v>17</v>
      </c>
      <c r="F19" s="23" t="s">
        <v>18</v>
      </c>
      <c r="G19" s="14" t="s">
        <v>19</v>
      </c>
      <c r="H19" s="14">
        <v>2</v>
      </c>
      <c r="I19" s="14" t="s">
        <v>20</v>
      </c>
      <c r="J19" s="14" t="s">
        <v>21</v>
      </c>
      <c r="K19" s="14">
        <v>1</v>
      </c>
      <c r="L19" s="14" t="s">
        <v>22</v>
      </c>
      <c r="M19" s="14" t="s">
        <v>21</v>
      </c>
      <c r="N19" s="14">
        <v>2</v>
      </c>
      <c r="O19" s="14" t="s">
        <v>23</v>
      </c>
      <c r="P19" s="14" t="s">
        <v>21</v>
      </c>
      <c r="Q19" s="14">
        <v>3</v>
      </c>
      <c r="R19" s="14" t="s">
        <v>30</v>
      </c>
      <c r="S19" s="29">
        <v>70000</v>
      </c>
      <c r="T19" s="27">
        <f>S19*Q19*N19*K19*H19</f>
        <v>840000</v>
      </c>
      <c r="U19" s="27"/>
      <c r="W19" s="17"/>
    </row>
    <row r="20" spans="1:23" s="18" customFormat="1" ht="31.25" customHeight="1" x14ac:dyDescent="0.2">
      <c r="A20" s="13"/>
      <c r="B20" s="14"/>
      <c r="C20" s="28"/>
      <c r="D20" s="14"/>
      <c r="E20" s="23"/>
      <c r="F20" s="23" t="s">
        <v>25</v>
      </c>
      <c r="G20" s="14" t="s">
        <v>19</v>
      </c>
      <c r="H20" s="30">
        <v>2</v>
      </c>
      <c r="I20" s="30" t="s">
        <v>20</v>
      </c>
      <c r="J20" s="30" t="s">
        <v>21</v>
      </c>
      <c r="K20" s="30">
        <v>1</v>
      </c>
      <c r="L20" s="30" t="s">
        <v>22</v>
      </c>
      <c r="M20" s="30" t="s">
        <v>21</v>
      </c>
      <c r="N20" s="30">
        <v>3</v>
      </c>
      <c r="O20" s="30" t="s">
        <v>23</v>
      </c>
      <c r="P20" s="30" t="s">
        <v>21</v>
      </c>
      <c r="Q20" s="14">
        <v>3</v>
      </c>
      <c r="R20" s="30" t="s">
        <v>31</v>
      </c>
      <c r="S20" s="29">
        <v>70000</v>
      </c>
      <c r="T20" s="27">
        <f>S20*Q20*N20*K20*H20</f>
        <v>1260000</v>
      </c>
      <c r="U20" s="27"/>
      <c r="V20" s="17"/>
      <c r="W20" s="17"/>
    </row>
    <row r="21" spans="1:23" s="18" customFormat="1" ht="31.25" customHeight="1" x14ac:dyDescent="0.2">
      <c r="A21" s="13"/>
      <c r="B21" s="14"/>
      <c r="C21" s="31"/>
      <c r="D21" s="14"/>
      <c r="E21" s="32"/>
      <c r="F21" s="23" t="s">
        <v>26</v>
      </c>
      <c r="G21" s="14" t="s">
        <v>19</v>
      </c>
      <c r="H21" s="30">
        <v>2</v>
      </c>
      <c r="I21" s="30" t="s">
        <v>20</v>
      </c>
      <c r="J21" s="30" t="s">
        <v>21</v>
      </c>
      <c r="K21" s="30">
        <v>1</v>
      </c>
      <c r="L21" s="30" t="s">
        <v>22</v>
      </c>
      <c r="M21" s="30" t="s">
        <v>21</v>
      </c>
      <c r="N21" s="30">
        <v>3</v>
      </c>
      <c r="O21" s="30" t="s">
        <v>23</v>
      </c>
      <c r="P21" s="30" t="s">
        <v>21</v>
      </c>
      <c r="Q21" s="14">
        <v>3</v>
      </c>
      <c r="R21" s="30" t="s">
        <v>31</v>
      </c>
      <c r="S21" s="29">
        <v>150000</v>
      </c>
      <c r="T21" s="27">
        <f>S21*Q21*N21*K21*H21</f>
        <v>2700000</v>
      </c>
      <c r="U21" s="27"/>
      <c r="W21" s="17"/>
    </row>
    <row r="22" spans="1:23" s="18" customFormat="1" ht="31.25" customHeight="1" x14ac:dyDescent="0.2">
      <c r="A22" s="13"/>
      <c r="B22" s="14"/>
      <c r="C22" s="31"/>
      <c r="D22" s="14"/>
      <c r="E22" s="32"/>
      <c r="F22" s="23" t="s">
        <v>32</v>
      </c>
      <c r="G22" s="14"/>
      <c r="H22" s="30"/>
      <c r="I22" s="30"/>
      <c r="J22" s="30"/>
      <c r="K22" s="30">
        <v>50</v>
      </c>
      <c r="L22" s="30" t="s">
        <v>33</v>
      </c>
      <c r="M22" s="30" t="s">
        <v>21</v>
      </c>
      <c r="N22" s="30">
        <v>3</v>
      </c>
      <c r="O22" s="30" t="s">
        <v>34</v>
      </c>
      <c r="P22" s="30" t="s">
        <v>21</v>
      </c>
      <c r="Q22" s="14">
        <v>3</v>
      </c>
      <c r="R22" s="30" t="s">
        <v>35</v>
      </c>
      <c r="S22" s="29">
        <v>750</v>
      </c>
      <c r="T22" s="27">
        <f>S22*Q22*N22*K22</f>
        <v>337500</v>
      </c>
      <c r="U22" s="27"/>
      <c r="W22" s="17"/>
    </row>
    <row r="23" spans="1:23" s="37" customFormat="1" ht="31.5" customHeight="1" x14ac:dyDescent="0.2">
      <c r="A23" s="33"/>
      <c r="B23" s="34">
        <v>3</v>
      </c>
      <c r="C23" s="196" t="s">
        <v>36</v>
      </c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35">
        <f>SUM(U24,U29)</f>
        <v>100000000</v>
      </c>
      <c r="V23" s="36"/>
      <c r="W23" s="36"/>
    </row>
    <row r="24" spans="1:23" s="37" customFormat="1" ht="32.25" customHeight="1" x14ac:dyDescent="0.2">
      <c r="A24" s="33"/>
      <c r="B24" s="34"/>
      <c r="C24" s="194" t="s">
        <v>37</v>
      </c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38">
        <f>SUM(T25:T26,T28)</f>
        <v>40000000</v>
      </c>
      <c r="V24" s="36"/>
      <c r="W24" s="36"/>
    </row>
    <row r="25" spans="1:23" s="37" customFormat="1" ht="38" customHeight="1" x14ac:dyDescent="0.2">
      <c r="A25" s="33"/>
      <c r="B25" s="34"/>
      <c r="C25" s="39"/>
      <c r="D25" s="40" t="s">
        <v>38</v>
      </c>
      <c r="E25" s="41" t="s">
        <v>39</v>
      </c>
      <c r="F25" s="42" t="s">
        <v>40</v>
      </c>
      <c r="G25" s="34" t="s">
        <v>19</v>
      </c>
      <c r="H25" s="43">
        <v>2</v>
      </c>
      <c r="I25" s="43" t="s">
        <v>20</v>
      </c>
      <c r="J25" s="43" t="s">
        <v>21</v>
      </c>
      <c r="K25" s="43">
        <v>1</v>
      </c>
      <c r="L25" s="43" t="s">
        <v>22</v>
      </c>
      <c r="M25" s="43" t="s">
        <v>21</v>
      </c>
      <c r="N25" s="43">
        <v>2</v>
      </c>
      <c r="O25" s="43" t="s">
        <v>23</v>
      </c>
      <c r="P25" s="43" t="s">
        <v>21</v>
      </c>
      <c r="Q25" s="43">
        <v>16</v>
      </c>
      <c r="R25" s="43" t="s">
        <v>30</v>
      </c>
      <c r="S25" s="44">
        <v>70000</v>
      </c>
      <c r="T25" s="45">
        <f>S25*Q25*N25*K25*H25</f>
        <v>4480000</v>
      </c>
      <c r="U25" s="46">
        <v>160</v>
      </c>
      <c r="V25" s="47"/>
      <c r="W25" s="36"/>
    </row>
    <row r="26" spans="1:23" s="37" customFormat="1" ht="38" customHeight="1" x14ac:dyDescent="0.2">
      <c r="A26" s="33"/>
      <c r="B26" s="34"/>
      <c r="C26" s="39"/>
      <c r="D26" s="34"/>
      <c r="E26" s="41"/>
      <c r="F26" s="48" t="s">
        <v>41</v>
      </c>
      <c r="G26" s="34" t="s">
        <v>19</v>
      </c>
      <c r="H26" s="49">
        <v>2</v>
      </c>
      <c r="I26" s="49" t="s">
        <v>20</v>
      </c>
      <c r="J26" s="49" t="s">
        <v>21</v>
      </c>
      <c r="K26" s="49">
        <v>1</v>
      </c>
      <c r="L26" s="49" t="s">
        <v>22</v>
      </c>
      <c r="M26" s="49" t="s">
        <v>21</v>
      </c>
      <c r="N26" s="49">
        <v>3</v>
      </c>
      <c r="O26" s="49" t="s">
        <v>23</v>
      </c>
      <c r="P26" s="49" t="s">
        <v>21</v>
      </c>
      <c r="Q26" s="49">
        <v>16</v>
      </c>
      <c r="R26" s="49" t="s">
        <v>31</v>
      </c>
      <c r="S26" s="44">
        <v>70000</v>
      </c>
      <c r="T26" s="45">
        <f>S26*Q26*N26*K26*H26</f>
        <v>6720000</v>
      </c>
      <c r="U26" s="46"/>
      <c r="V26" s="36"/>
      <c r="W26" s="36"/>
    </row>
    <row r="27" spans="1:23" s="37" customFormat="1" ht="38" customHeight="1" x14ac:dyDescent="0.2">
      <c r="A27" s="33"/>
      <c r="B27" s="34"/>
      <c r="C27" s="39"/>
      <c r="D27" s="34"/>
      <c r="E27" s="41"/>
      <c r="F27" s="50" t="s">
        <v>26</v>
      </c>
      <c r="G27" s="34" t="s">
        <v>19</v>
      </c>
      <c r="H27" s="49">
        <v>2</v>
      </c>
      <c r="I27" s="49" t="s">
        <v>20</v>
      </c>
      <c r="J27" s="49" t="s">
        <v>21</v>
      </c>
      <c r="K27" s="49">
        <v>1</v>
      </c>
      <c r="L27" s="49" t="s">
        <v>22</v>
      </c>
      <c r="M27" s="49" t="s">
        <v>21</v>
      </c>
      <c r="N27" s="49">
        <v>3</v>
      </c>
      <c r="O27" s="49" t="s">
        <v>23</v>
      </c>
      <c r="P27" s="49" t="s">
        <v>21</v>
      </c>
      <c r="Q27" s="49">
        <v>15</v>
      </c>
      <c r="R27" s="49" t="s">
        <v>31</v>
      </c>
      <c r="S27" s="44">
        <v>150000</v>
      </c>
      <c r="T27" s="45">
        <f>S27*Q27*N27*K27*H27</f>
        <v>13500000</v>
      </c>
      <c r="U27" s="46"/>
      <c r="W27" s="36"/>
    </row>
    <row r="28" spans="1:23" s="37" customFormat="1" ht="30.75" customHeight="1" x14ac:dyDescent="0.2">
      <c r="A28" s="33"/>
      <c r="B28" s="34"/>
      <c r="C28" s="39"/>
      <c r="D28" s="33"/>
      <c r="E28" s="39"/>
      <c r="F28" s="42" t="s">
        <v>42</v>
      </c>
      <c r="G28" s="34"/>
      <c r="H28" s="51"/>
      <c r="I28" s="51"/>
      <c r="J28" s="51"/>
      <c r="K28" s="43">
        <v>15</v>
      </c>
      <c r="L28" s="43" t="s">
        <v>43</v>
      </c>
      <c r="M28" s="43" t="s">
        <v>21</v>
      </c>
      <c r="N28" s="43">
        <v>5</v>
      </c>
      <c r="O28" s="43" t="s">
        <v>23</v>
      </c>
      <c r="P28" s="43" t="s">
        <v>21</v>
      </c>
      <c r="Q28" s="43">
        <v>16</v>
      </c>
      <c r="R28" s="43" t="s">
        <v>30</v>
      </c>
      <c r="S28" s="44">
        <v>24000</v>
      </c>
      <c r="T28" s="45">
        <f>S28*Q28*N28*K28</f>
        <v>28800000</v>
      </c>
      <c r="U28" s="46">
        <f>K28*N28*Q28</f>
        <v>1200</v>
      </c>
      <c r="W28" s="36"/>
    </row>
    <row r="29" spans="1:23" s="37" customFormat="1" ht="29.5" customHeight="1" x14ac:dyDescent="0.2">
      <c r="A29" s="33"/>
      <c r="B29" s="34"/>
      <c r="C29" s="194" t="s">
        <v>44</v>
      </c>
      <c r="D29" s="194"/>
      <c r="E29" s="194"/>
      <c r="F29" s="194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38">
        <f>SUM(T30:T31,T33)</f>
        <v>60000000</v>
      </c>
      <c r="W29" s="36"/>
    </row>
    <row r="30" spans="1:23" s="37" customFormat="1" ht="35" customHeight="1" x14ac:dyDescent="0.2">
      <c r="A30" s="33"/>
      <c r="B30" s="34"/>
      <c r="C30" s="39"/>
      <c r="D30" s="40" t="s">
        <v>38</v>
      </c>
      <c r="E30" s="41" t="s">
        <v>39</v>
      </c>
      <c r="F30" s="42" t="s">
        <v>40</v>
      </c>
      <c r="G30" s="34" t="s">
        <v>19</v>
      </c>
      <c r="H30" s="43">
        <v>2</v>
      </c>
      <c r="I30" s="43" t="s">
        <v>20</v>
      </c>
      <c r="J30" s="43" t="s">
        <v>21</v>
      </c>
      <c r="K30" s="43">
        <v>1</v>
      </c>
      <c r="L30" s="43" t="s">
        <v>22</v>
      </c>
      <c r="M30" s="43" t="s">
        <v>21</v>
      </c>
      <c r="N30" s="43">
        <v>2</v>
      </c>
      <c r="O30" s="43" t="s">
        <v>23</v>
      </c>
      <c r="P30" s="43" t="s">
        <v>21</v>
      </c>
      <c r="Q30" s="43">
        <v>24</v>
      </c>
      <c r="R30" s="43" t="s">
        <v>30</v>
      </c>
      <c r="S30" s="44">
        <v>70000</v>
      </c>
      <c r="T30" s="45">
        <f>S30*Q30*N30*K30*H30</f>
        <v>6720000</v>
      </c>
      <c r="U30" s="46">
        <f>H30*5*Q30</f>
        <v>240</v>
      </c>
      <c r="W30" s="36"/>
    </row>
    <row r="31" spans="1:23" s="37" customFormat="1" ht="35" customHeight="1" x14ac:dyDescent="0.2">
      <c r="A31" s="33"/>
      <c r="B31" s="34"/>
      <c r="C31" s="39"/>
      <c r="D31" s="34"/>
      <c r="E31" s="41"/>
      <c r="F31" s="48" t="s">
        <v>41</v>
      </c>
      <c r="G31" s="34" t="s">
        <v>19</v>
      </c>
      <c r="H31" s="49">
        <v>2</v>
      </c>
      <c r="I31" s="49" t="s">
        <v>20</v>
      </c>
      <c r="J31" s="49" t="s">
        <v>21</v>
      </c>
      <c r="K31" s="49">
        <v>1</v>
      </c>
      <c r="L31" s="49" t="s">
        <v>22</v>
      </c>
      <c r="M31" s="49" t="s">
        <v>21</v>
      </c>
      <c r="N31" s="49">
        <v>3</v>
      </c>
      <c r="O31" s="49" t="s">
        <v>23</v>
      </c>
      <c r="P31" s="49" t="s">
        <v>21</v>
      </c>
      <c r="Q31" s="43">
        <v>24</v>
      </c>
      <c r="R31" s="49" t="s">
        <v>31</v>
      </c>
      <c r="S31" s="44">
        <v>70000</v>
      </c>
      <c r="T31" s="45">
        <f>S31*Q31*N31*K31*H31</f>
        <v>10080000</v>
      </c>
      <c r="U31" s="46">
        <f>SUM(U25,U30)</f>
        <v>400</v>
      </c>
      <c r="W31" s="36"/>
    </row>
    <row r="32" spans="1:23" s="37" customFormat="1" ht="35" customHeight="1" x14ac:dyDescent="0.2">
      <c r="A32" s="33"/>
      <c r="B32" s="34"/>
      <c r="C32" s="39"/>
      <c r="D32" s="34"/>
      <c r="E32" s="41"/>
      <c r="F32" s="48" t="s">
        <v>45</v>
      </c>
      <c r="G32" s="34" t="s">
        <v>19</v>
      </c>
      <c r="H32" s="49">
        <v>2</v>
      </c>
      <c r="I32" s="49" t="s">
        <v>20</v>
      </c>
      <c r="J32" s="49" t="s">
        <v>21</v>
      </c>
      <c r="K32" s="49">
        <v>1</v>
      </c>
      <c r="L32" s="49" t="s">
        <v>22</v>
      </c>
      <c r="M32" s="49" t="s">
        <v>21</v>
      </c>
      <c r="N32" s="49">
        <v>3</v>
      </c>
      <c r="O32" s="49" t="s">
        <v>23</v>
      </c>
      <c r="P32" s="49" t="s">
        <v>21</v>
      </c>
      <c r="Q32" s="43">
        <v>24</v>
      </c>
      <c r="R32" s="49" t="s">
        <v>31</v>
      </c>
      <c r="S32" s="44">
        <v>150000</v>
      </c>
      <c r="T32" s="45">
        <f>S32*Q32*N32*K32*H32</f>
        <v>21600000</v>
      </c>
      <c r="U32" s="46">
        <f>SUM(U28,U33)</f>
        <v>3000</v>
      </c>
      <c r="W32" s="36"/>
    </row>
    <row r="33" spans="1:24" s="37" customFormat="1" ht="35" customHeight="1" x14ac:dyDescent="0.2">
      <c r="A33" s="33"/>
      <c r="B33" s="34"/>
      <c r="C33" s="39"/>
      <c r="D33" s="33"/>
      <c r="E33" s="39"/>
      <c r="F33" s="42" t="s">
        <v>42</v>
      </c>
      <c r="G33" s="34"/>
      <c r="H33" s="51"/>
      <c r="I33" s="51"/>
      <c r="J33" s="51"/>
      <c r="K33" s="43">
        <v>15</v>
      </c>
      <c r="L33" s="43" t="s">
        <v>43</v>
      </c>
      <c r="M33" s="43" t="s">
        <v>21</v>
      </c>
      <c r="N33" s="43">
        <v>5</v>
      </c>
      <c r="O33" s="49" t="s">
        <v>23</v>
      </c>
      <c r="P33" s="43" t="s">
        <v>21</v>
      </c>
      <c r="Q33" s="43">
        <v>24</v>
      </c>
      <c r="R33" s="43" t="s">
        <v>30</v>
      </c>
      <c r="S33" s="44">
        <v>24000</v>
      </c>
      <c r="T33" s="45">
        <f>S33*Q33*N33*K33</f>
        <v>43200000</v>
      </c>
      <c r="U33" s="46">
        <f>K33*N33*Q33</f>
        <v>1800</v>
      </c>
      <c r="W33" s="36"/>
    </row>
    <row r="34" spans="1:24" s="53" customFormat="1" ht="34.25" customHeight="1" x14ac:dyDescent="0.2">
      <c r="A34" s="51"/>
      <c r="B34" s="43">
        <v>4</v>
      </c>
      <c r="C34" s="192" t="s">
        <v>46</v>
      </c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5">
        <f>U35+U39+U43</f>
        <v>26040000</v>
      </c>
      <c r="V34" s="52"/>
      <c r="W34" s="52"/>
    </row>
    <row r="35" spans="1:24" s="59" customFormat="1" ht="35" customHeight="1" x14ac:dyDescent="0.2">
      <c r="A35" s="54"/>
      <c r="B35" s="55"/>
      <c r="C35" s="185" t="s">
        <v>47</v>
      </c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56">
        <f>SUM(T36:T37)</f>
        <v>7000000</v>
      </c>
      <c r="V35" s="57"/>
      <c r="W35" s="58"/>
    </row>
    <row r="36" spans="1:24" s="53" customFormat="1" ht="32.5" customHeight="1" x14ac:dyDescent="0.2">
      <c r="A36" s="51"/>
      <c r="B36" s="43"/>
      <c r="C36" s="60"/>
      <c r="D36" s="40" t="s">
        <v>48</v>
      </c>
      <c r="E36" s="61" t="s">
        <v>39</v>
      </c>
      <c r="F36" s="62" t="s">
        <v>40</v>
      </c>
      <c r="G36" s="43" t="s">
        <v>19</v>
      </c>
      <c r="H36" s="63">
        <v>4</v>
      </c>
      <c r="I36" s="63" t="s">
        <v>20</v>
      </c>
      <c r="J36" s="63" t="s">
        <v>21</v>
      </c>
      <c r="K36" s="63">
        <v>1</v>
      </c>
      <c r="L36" s="63" t="s">
        <v>22</v>
      </c>
      <c r="M36" s="63" t="s">
        <v>21</v>
      </c>
      <c r="N36" s="63">
        <v>2</v>
      </c>
      <c r="O36" s="63" t="s">
        <v>49</v>
      </c>
      <c r="P36" s="63" t="s">
        <v>21</v>
      </c>
      <c r="Q36" s="63">
        <v>5</v>
      </c>
      <c r="R36" s="63" t="s">
        <v>30</v>
      </c>
      <c r="S36" s="64">
        <v>70000</v>
      </c>
      <c r="T36" s="45">
        <f t="shared" ref="T36:T46" si="0">S36*Q36*N36*K36*H36</f>
        <v>2800000</v>
      </c>
      <c r="U36" s="43">
        <f>H36*5*Q36</f>
        <v>100</v>
      </c>
      <c r="W36" s="52"/>
    </row>
    <row r="37" spans="1:24" s="53" customFormat="1" ht="32.5" customHeight="1" x14ac:dyDescent="0.2">
      <c r="A37" s="51"/>
      <c r="B37" s="43"/>
      <c r="C37" s="60"/>
      <c r="D37" s="43"/>
      <c r="E37" s="61"/>
      <c r="F37" s="65" t="s">
        <v>41</v>
      </c>
      <c r="G37" s="43" t="s">
        <v>19</v>
      </c>
      <c r="H37" s="63">
        <v>4</v>
      </c>
      <c r="I37" s="66" t="s">
        <v>20</v>
      </c>
      <c r="J37" s="66" t="s">
        <v>21</v>
      </c>
      <c r="K37" s="66">
        <v>1</v>
      </c>
      <c r="L37" s="66" t="s">
        <v>22</v>
      </c>
      <c r="M37" s="66" t="s">
        <v>21</v>
      </c>
      <c r="N37" s="66">
        <v>3</v>
      </c>
      <c r="O37" s="63" t="s">
        <v>49</v>
      </c>
      <c r="P37" s="66" t="s">
        <v>21</v>
      </c>
      <c r="Q37" s="63">
        <v>5</v>
      </c>
      <c r="R37" s="66" t="s">
        <v>31</v>
      </c>
      <c r="S37" s="64">
        <v>70000</v>
      </c>
      <c r="T37" s="45">
        <f t="shared" si="0"/>
        <v>4200000</v>
      </c>
      <c r="U37" s="43"/>
      <c r="W37" s="52"/>
    </row>
    <row r="38" spans="1:24" s="53" customFormat="1" ht="32.5" customHeight="1" x14ac:dyDescent="0.2">
      <c r="A38" s="51"/>
      <c r="B38" s="43"/>
      <c r="C38" s="60"/>
      <c r="D38" s="43"/>
      <c r="E38" s="61"/>
      <c r="F38" s="23" t="s">
        <v>26</v>
      </c>
      <c r="G38" s="43" t="s">
        <v>19</v>
      </c>
      <c r="H38" s="63">
        <v>4</v>
      </c>
      <c r="I38" s="66" t="s">
        <v>20</v>
      </c>
      <c r="J38" s="66" t="s">
        <v>21</v>
      </c>
      <c r="K38" s="66">
        <v>1</v>
      </c>
      <c r="L38" s="66" t="s">
        <v>22</v>
      </c>
      <c r="M38" s="66" t="s">
        <v>21</v>
      </c>
      <c r="N38" s="66">
        <v>3</v>
      </c>
      <c r="O38" s="63" t="s">
        <v>49</v>
      </c>
      <c r="P38" s="66" t="s">
        <v>21</v>
      </c>
      <c r="Q38" s="63">
        <v>5</v>
      </c>
      <c r="R38" s="66" t="s">
        <v>31</v>
      </c>
      <c r="S38" s="64">
        <v>150000</v>
      </c>
      <c r="T38" s="45">
        <f t="shared" si="0"/>
        <v>9000000</v>
      </c>
      <c r="U38" s="43"/>
      <c r="W38" s="52"/>
    </row>
    <row r="39" spans="1:24" s="59" customFormat="1" ht="35" customHeight="1" x14ac:dyDescent="0.2">
      <c r="A39" s="54"/>
      <c r="B39" s="55"/>
      <c r="C39" s="185" t="s">
        <v>50</v>
      </c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56">
        <f>SUM(T40:T41)</f>
        <v>5600000</v>
      </c>
      <c r="V39" s="57"/>
      <c r="W39" s="58"/>
    </row>
    <row r="40" spans="1:24" s="53" customFormat="1" ht="32.5" customHeight="1" x14ac:dyDescent="0.2">
      <c r="A40" s="51"/>
      <c r="B40" s="43"/>
      <c r="C40" s="60"/>
      <c r="D40" s="40" t="s">
        <v>48</v>
      </c>
      <c r="E40" s="61" t="s">
        <v>39</v>
      </c>
      <c r="F40" s="62" t="s">
        <v>40</v>
      </c>
      <c r="G40" s="43" t="s">
        <v>19</v>
      </c>
      <c r="H40" s="63">
        <v>4</v>
      </c>
      <c r="I40" s="63" t="s">
        <v>20</v>
      </c>
      <c r="J40" s="63" t="s">
        <v>21</v>
      </c>
      <c r="K40" s="63">
        <v>1</v>
      </c>
      <c r="L40" s="63" t="s">
        <v>22</v>
      </c>
      <c r="M40" s="63" t="s">
        <v>21</v>
      </c>
      <c r="N40" s="63">
        <v>2</v>
      </c>
      <c r="O40" s="63" t="s">
        <v>49</v>
      </c>
      <c r="P40" s="63" t="s">
        <v>21</v>
      </c>
      <c r="Q40" s="63">
        <v>5</v>
      </c>
      <c r="R40" s="63" t="s">
        <v>30</v>
      </c>
      <c r="S40" s="64">
        <v>70000</v>
      </c>
      <c r="T40" s="45">
        <f t="shared" si="0"/>
        <v>2800000</v>
      </c>
      <c r="U40" s="43">
        <f>H40*4*Q40</f>
        <v>80</v>
      </c>
      <c r="V40" s="45"/>
      <c r="X40" s="52"/>
    </row>
    <row r="41" spans="1:24" s="53" customFormat="1" ht="32.5" customHeight="1" x14ac:dyDescent="0.2">
      <c r="A41" s="51"/>
      <c r="B41" s="43"/>
      <c r="C41" s="60"/>
      <c r="D41" s="43"/>
      <c r="E41" s="61"/>
      <c r="F41" s="65" t="s">
        <v>41</v>
      </c>
      <c r="G41" s="43" t="s">
        <v>19</v>
      </c>
      <c r="H41" s="63">
        <v>4</v>
      </c>
      <c r="I41" s="66" t="s">
        <v>20</v>
      </c>
      <c r="J41" s="66" t="s">
        <v>21</v>
      </c>
      <c r="K41" s="66">
        <v>1</v>
      </c>
      <c r="L41" s="66" t="s">
        <v>22</v>
      </c>
      <c r="M41" s="66" t="s">
        <v>21</v>
      </c>
      <c r="N41" s="66">
        <v>2</v>
      </c>
      <c r="O41" s="63" t="s">
        <v>49</v>
      </c>
      <c r="P41" s="66" t="s">
        <v>21</v>
      </c>
      <c r="Q41" s="63">
        <v>5</v>
      </c>
      <c r="R41" s="66" t="s">
        <v>31</v>
      </c>
      <c r="S41" s="64">
        <v>70000</v>
      </c>
      <c r="T41" s="45">
        <f t="shared" si="0"/>
        <v>2800000</v>
      </c>
      <c r="U41" s="43"/>
      <c r="V41" s="45"/>
      <c r="X41" s="52"/>
    </row>
    <row r="42" spans="1:24" s="53" customFormat="1" ht="32.5" customHeight="1" x14ac:dyDescent="0.2">
      <c r="A42" s="51"/>
      <c r="B42" s="43"/>
      <c r="C42" s="60"/>
      <c r="D42" s="43"/>
      <c r="E42" s="61"/>
      <c r="F42" s="23" t="s">
        <v>26</v>
      </c>
      <c r="G42" s="43" t="s">
        <v>19</v>
      </c>
      <c r="H42" s="63">
        <v>4</v>
      </c>
      <c r="I42" s="66" t="s">
        <v>20</v>
      </c>
      <c r="J42" s="66" t="s">
        <v>21</v>
      </c>
      <c r="K42" s="66">
        <v>1</v>
      </c>
      <c r="L42" s="66" t="s">
        <v>22</v>
      </c>
      <c r="M42" s="66" t="s">
        <v>21</v>
      </c>
      <c r="N42" s="66">
        <v>2</v>
      </c>
      <c r="O42" s="63" t="s">
        <v>49</v>
      </c>
      <c r="P42" s="66" t="s">
        <v>21</v>
      </c>
      <c r="Q42" s="63">
        <v>5</v>
      </c>
      <c r="R42" s="66" t="s">
        <v>31</v>
      </c>
      <c r="S42" s="64">
        <v>150000</v>
      </c>
      <c r="T42" s="45">
        <f t="shared" si="0"/>
        <v>6000000</v>
      </c>
      <c r="U42" s="43"/>
      <c r="V42" s="45"/>
      <c r="X42" s="52"/>
    </row>
    <row r="43" spans="1:24" s="59" customFormat="1" ht="35" customHeight="1" x14ac:dyDescent="0.2">
      <c r="A43" s="54"/>
      <c r="B43" s="55"/>
      <c r="C43" s="185" t="s">
        <v>51</v>
      </c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56">
        <f>SUM(T44:T45)</f>
        <v>13440000</v>
      </c>
      <c r="V43" s="57"/>
      <c r="W43" s="58"/>
    </row>
    <row r="44" spans="1:24" s="53" customFormat="1" ht="32.5" customHeight="1" x14ac:dyDescent="0.2">
      <c r="A44" s="51"/>
      <c r="B44" s="43"/>
      <c r="C44" s="60"/>
      <c r="D44" s="40" t="s">
        <v>48</v>
      </c>
      <c r="E44" s="61" t="s">
        <v>39</v>
      </c>
      <c r="F44" s="62" t="s">
        <v>40</v>
      </c>
      <c r="G44" s="43" t="s">
        <v>19</v>
      </c>
      <c r="H44" s="63">
        <v>2</v>
      </c>
      <c r="I44" s="63" t="s">
        <v>20</v>
      </c>
      <c r="J44" s="63" t="s">
        <v>21</v>
      </c>
      <c r="K44" s="63">
        <v>1</v>
      </c>
      <c r="L44" s="63" t="s">
        <v>22</v>
      </c>
      <c r="M44" s="63" t="s">
        <v>21</v>
      </c>
      <c r="N44" s="63">
        <v>2</v>
      </c>
      <c r="O44" s="63" t="s">
        <v>49</v>
      </c>
      <c r="P44" s="63" t="s">
        <v>21</v>
      </c>
      <c r="Q44" s="63">
        <v>24</v>
      </c>
      <c r="R44" s="63" t="s">
        <v>30</v>
      </c>
      <c r="S44" s="64">
        <v>70000</v>
      </c>
      <c r="T44" s="45">
        <f t="shared" si="0"/>
        <v>6720000</v>
      </c>
      <c r="U44" s="43">
        <f>H44*4*Q44</f>
        <v>192</v>
      </c>
      <c r="W44" s="52"/>
    </row>
    <row r="45" spans="1:24" s="53" customFormat="1" ht="32.5" customHeight="1" x14ac:dyDescent="0.2">
      <c r="A45" s="51"/>
      <c r="B45" s="43"/>
      <c r="C45" s="60"/>
      <c r="D45" s="43"/>
      <c r="E45" s="61"/>
      <c r="F45" s="65" t="s">
        <v>41</v>
      </c>
      <c r="G45" s="43" t="s">
        <v>19</v>
      </c>
      <c r="H45" s="63">
        <v>2</v>
      </c>
      <c r="I45" s="66" t="s">
        <v>20</v>
      </c>
      <c r="J45" s="66" t="s">
        <v>21</v>
      </c>
      <c r="K45" s="66">
        <v>1</v>
      </c>
      <c r="L45" s="66" t="s">
        <v>22</v>
      </c>
      <c r="M45" s="66" t="s">
        <v>21</v>
      </c>
      <c r="N45" s="66">
        <v>2</v>
      </c>
      <c r="O45" s="63" t="s">
        <v>49</v>
      </c>
      <c r="P45" s="66" t="s">
        <v>21</v>
      </c>
      <c r="Q45" s="63">
        <v>24</v>
      </c>
      <c r="R45" s="66" t="s">
        <v>31</v>
      </c>
      <c r="S45" s="64">
        <v>70000</v>
      </c>
      <c r="T45" s="45">
        <f t="shared" si="0"/>
        <v>6720000</v>
      </c>
      <c r="U45" s="43">
        <f>SUM(U36,U40,U44)</f>
        <v>372</v>
      </c>
      <c r="W45" s="52"/>
    </row>
    <row r="46" spans="1:24" s="53" customFormat="1" ht="32.5" customHeight="1" x14ac:dyDescent="0.2">
      <c r="A46" s="51"/>
      <c r="B46" s="43"/>
      <c r="C46" s="60"/>
      <c r="D46" s="43"/>
      <c r="E46" s="61"/>
      <c r="F46" s="23" t="s">
        <v>26</v>
      </c>
      <c r="G46" s="43" t="s">
        <v>19</v>
      </c>
      <c r="H46" s="63">
        <v>4</v>
      </c>
      <c r="I46" s="66" t="s">
        <v>20</v>
      </c>
      <c r="J46" s="66" t="s">
        <v>21</v>
      </c>
      <c r="K46" s="66">
        <v>1</v>
      </c>
      <c r="L46" s="66" t="s">
        <v>22</v>
      </c>
      <c r="M46" s="66" t="s">
        <v>21</v>
      </c>
      <c r="N46" s="66">
        <v>2</v>
      </c>
      <c r="O46" s="63" t="s">
        <v>49</v>
      </c>
      <c r="P46" s="66" t="s">
        <v>21</v>
      </c>
      <c r="Q46" s="63">
        <v>12</v>
      </c>
      <c r="R46" s="66" t="s">
        <v>31</v>
      </c>
      <c r="S46" s="64">
        <v>150000</v>
      </c>
      <c r="T46" s="45">
        <f t="shared" si="0"/>
        <v>14400000</v>
      </c>
      <c r="U46" s="43"/>
      <c r="W46" s="52"/>
    </row>
    <row r="47" spans="1:24" s="18" customFormat="1" ht="27" customHeight="1" x14ac:dyDescent="0.2">
      <c r="A47" s="13"/>
      <c r="B47" s="14">
        <v>5</v>
      </c>
      <c r="C47" s="195" t="s">
        <v>52</v>
      </c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67">
        <f>SUM(T48:T50)</f>
        <v>19200000</v>
      </c>
      <c r="W47" s="17"/>
    </row>
    <row r="48" spans="1:24" s="18" customFormat="1" ht="24.5" customHeight="1" x14ac:dyDescent="0.2">
      <c r="A48" s="13"/>
      <c r="B48" s="14"/>
      <c r="C48" s="191" t="s">
        <v>53</v>
      </c>
      <c r="D48" s="21" t="s">
        <v>54</v>
      </c>
      <c r="E48" s="22" t="s">
        <v>17</v>
      </c>
      <c r="F48" s="23" t="s">
        <v>18</v>
      </c>
      <c r="G48" s="24" t="s">
        <v>19</v>
      </c>
      <c r="H48" s="24">
        <v>2</v>
      </c>
      <c r="I48" s="24" t="s">
        <v>20</v>
      </c>
      <c r="J48" s="24" t="s">
        <v>21</v>
      </c>
      <c r="K48" s="24">
        <v>1</v>
      </c>
      <c r="L48" s="24" t="s">
        <v>22</v>
      </c>
      <c r="M48" s="24" t="s">
        <v>21</v>
      </c>
      <c r="N48" s="24">
        <v>2</v>
      </c>
      <c r="O48" s="24" t="s">
        <v>23</v>
      </c>
      <c r="P48" s="24" t="s">
        <v>21</v>
      </c>
      <c r="Q48" s="24">
        <v>12</v>
      </c>
      <c r="R48" s="24" t="s">
        <v>24</v>
      </c>
      <c r="S48" s="25">
        <v>70000</v>
      </c>
      <c r="T48" s="26">
        <f>(H48*K48*N48*Q48*S48)</f>
        <v>3360000</v>
      </c>
      <c r="U48" s="27">
        <f>H48*5*Q48</f>
        <v>120</v>
      </c>
      <c r="W48" s="17"/>
    </row>
    <row r="49" spans="1:23" s="18" customFormat="1" ht="24.5" customHeight="1" x14ac:dyDescent="0.2">
      <c r="A49" s="13"/>
      <c r="B49" s="14"/>
      <c r="C49" s="191"/>
      <c r="D49" s="14"/>
      <c r="E49" s="23"/>
      <c r="F49" s="23" t="s">
        <v>25</v>
      </c>
      <c r="G49" s="24" t="s">
        <v>19</v>
      </c>
      <c r="H49" s="24">
        <v>2</v>
      </c>
      <c r="I49" s="24" t="s">
        <v>20</v>
      </c>
      <c r="J49" s="24" t="s">
        <v>21</v>
      </c>
      <c r="K49" s="24">
        <v>1</v>
      </c>
      <c r="L49" s="24" t="s">
        <v>22</v>
      </c>
      <c r="M49" s="24" t="s">
        <v>21</v>
      </c>
      <c r="N49" s="24">
        <v>3</v>
      </c>
      <c r="O49" s="24" t="s">
        <v>23</v>
      </c>
      <c r="P49" s="24" t="s">
        <v>21</v>
      </c>
      <c r="Q49" s="24">
        <v>12</v>
      </c>
      <c r="R49" s="24" t="s">
        <v>24</v>
      </c>
      <c r="S49" s="25">
        <v>70000</v>
      </c>
      <c r="T49" s="26">
        <f>(H49*K49*N49*Q49*S49)</f>
        <v>5040000</v>
      </c>
      <c r="U49" s="27">
        <f>H49*N49*Q49</f>
        <v>72</v>
      </c>
      <c r="W49" s="17"/>
    </row>
    <row r="50" spans="1:23" s="18" customFormat="1" ht="24.5" customHeight="1" x14ac:dyDescent="0.2">
      <c r="A50" s="13"/>
      <c r="B50" s="14"/>
      <c r="C50" s="20"/>
      <c r="D50" s="14"/>
      <c r="E50" s="23" t="s">
        <v>26</v>
      </c>
      <c r="F50" s="23"/>
      <c r="G50" s="24"/>
      <c r="H50" s="24">
        <v>2</v>
      </c>
      <c r="I50" s="24" t="s">
        <v>20</v>
      </c>
      <c r="J50" s="24" t="s">
        <v>21</v>
      </c>
      <c r="K50" s="24">
        <v>1</v>
      </c>
      <c r="L50" s="24" t="s">
        <v>22</v>
      </c>
      <c r="M50" s="24" t="s">
        <v>21</v>
      </c>
      <c r="N50" s="24">
        <v>3</v>
      </c>
      <c r="O50" s="24" t="s">
        <v>23</v>
      </c>
      <c r="P50" s="24" t="s">
        <v>21</v>
      </c>
      <c r="Q50" s="24">
        <v>12</v>
      </c>
      <c r="R50" s="24" t="s">
        <v>24</v>
      </c>
      <c r="S50" s="25">
        <v>150000</v>
      </c>
      <c r="T50" s="26">
        <f>(H50*K50*N50*Q50*S50)</f>
        <v>10800000</v>
      </c>
      <c r="U50" s="27"/>
      <c r="W50" s="17"/>
    </row>
    <row r="51" spans="1:23" s="53" customFormat="1" ht="24.5" customHeight="1" x14ac:dyDescent="0.2">
      <c r="A51" s="51"/>
      <c r="B51" s="43">
        <v>6</v>
      </c>
      <c r="C51" s="192" t="s">
        <v>55</v>
      </c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68">
        <f>SUM(U52,U56)</f>
        <v>33600000</v>
      </c>
      <c r="W51" s="52"/>
    </row>
    <row r="52" spans="1:23" s="53" customFormat="1" ht="27" customHeight="1" x14ac:dyDescent="0.2">
      <c r="A52" s="51"/>
      <c r="B52" s="43"/>
      <c r="C52" s="180" t="s">
        <v>56</v>
      </c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9">
        <f>SUM(T53:T54)</f>
        <v>16800000</v>
      </c>
      <c r="V52" s="52"/>
      <c r="W52" s="52"/>
    </row>
    <row r="53" spans="1:23" s="53" customFormat="1" ht="29.25" customHeight="1" x14ac:dyDescent="0.2">
      <c r="A53" s="51"/>
      <c r="B53" s="43"/>
      <c r="C53" s="69"/>
      <c r="D53" s="40" t="s">
        <v>57</v>
      </c>
      <c r="E53" s="61" t="s">
        <v>39</v>
      </c>
      <c r="F53" s="62" t="s">
        <v>40</v>
      </c>
      <c r="G53" s="70" t="s">
        <v>19</v>
      </c>
      <c r="H53" s="63">
        <v>2</v>
      </c>
      <c r="I53" s="63" t="s">
        <v>20</v>
      </c>
      <c r="J53" s="63" t="s">
        <v>21</v>
      </c>
      <c r="K53" s="63">
        <v>1</v>
      </c>
      <c r="L53" s="63" t="s">
        <v>22</v>
      </c>
      <c r="M53" s="63" t="s">
        <v>21</v>
      </c>
      <c r="N53" s="63">
        <v>2</v>
      </c>
      <c r="O53" s="63" t="s">
        <v>23</v>
      </c>
      <c r="P53" s="63" t="s">
        <v>21</v>
      </c>
      <c r="Q53" s="63">
        <v>24</v>
      </c>
      <c r="R53" s="63" t="s">
        <v>30</v>
      </c>
      <c r="S53" s="64">
        <v>70000</v>
      </c>
      <c r="T53" s="45">
        <f>S53*Q53*N53*K53*H53</f>
        <v>6720000</v>
      </c>
      <c r="U53" s="71">
        <f>H53*5*Q53</f>
        <v>240</v>
      </c>
      <c r="W53" s="52"/>
    </row>
    <row r="54" spans="1:23" s="53" customFormat="1" ht="29.25" customHeight="1" x14ac:dyDescent="0.2">
      <c r="A54" s="51"/>
      <c r="B54" s="43"/>
      <c r="C54" s="69"/>
      <c r="D54" s="43"/>
      <c r="E54" s="61"/>
      <c r="F54" s="65" t="s">
        <v>41</v>
      </c>
      <c r="G54" s="24" t="s">
        <v>19</v>
      </c>
      <c r="H54" s="63">
        <v>2</v>
      </c>
      <c r="I54" s="63" t="s">
        <v>20</v>
      </c>
      <c r="J54" s="63" t="s">
        <v>21</v>
      </c>
      <c r="K54" s="63">
        <v>1</v>
      </c>
      <c r="L54" s="63" t="s">
        <v>22</v>
      </c>
      <c r="M54" s="63" t="s">
        <v>21</v>
      </c>
      <c r="N54" s="63">
        <v>3</v>
      </c>
      <c r="O54" s="63" t="s">
        <v>23</v>
      </c>
      <c r="P54" s="63" t="s">
        <v>21</v>
      </c>
      <c r="Q54" s="63">
        <v>24</v>
      </c>
      <c r="R54" s="63" t="s">
        <v>30</v>
      </c>
      <c r="S54" s="64">
        <v>70000</v>
      </c>
      <c r="T54" s="45">
        <f>S54*Q54*N54*K54*H54</f>
        <v>10080000</v>
      </c>
      <c r="U54" s="45"/>
      <c r="W54" s="52"/>
    </row>
    <row r="55" spans="1:23" s="53" customFormat="1" ht="22.5" customHeight="1" x14ac:dyDescent="0.2">
      <c r="A55" s="51"/>
      <c r="B55" s="43"/>
      <c r="C55" s="69"/>
      <c r="D55" s="51"/>
      <c r="E55" s="23" t="s">
        <v>26</v>
      </c>
      <c r="F55" s="23"/>
      <c r="G55" s="24"/>
      <c r="H55" s="72">
        <v>2</v>
      </c>
      <c r="I55" s="72" t="s">
        <v>20</v>
      </c>
      <c r="J55" s="72" t="s">
        <v>21</v>
      </c>
      <c r="K55" s="72">
        <v>1</v>
      </c>
      <c r="L55" s="72" t="s">
        <v>22</v>
      </c>
      <c r="M55" s="72" t="s">
        <v>21</v>
      </c>
      <c r="N55" s="72">
        <v>3</v>
      </c>
      <c r="O55" s="72" t="s">
        <v>23</v>
      </c>
      <c r="P55" s="72" t="s">
        <v>21</v>
      </c>
      <c r="Q55" s="63">
        <v>24</v>
      </c>
      <c r="R55" s="72" t="s">
        <v>24</v>
      </c>
      <c r="S55" s="73">
        <v>150000</v>
      </c>
      <c r="T55" s="74">
        <f>(H55*K55*N55*Q55*S55)</f>
        <v>21600000</v>
      </c>
      <c r="U55" s="45"/>
      <c r="W55" s="52"/>
    </row>
    <row r="56" spans="1:23" s="53" customFormat="1" ht="22.5" customHeight="1" x14ac:dyDescent="0.2">
      <c r="A56" s="51"/>
      <c r="B56" s="43"/>
      <c r="C56" s="180" t="s">
        <v>58</v>
      </c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9">
        <f>SUM(T57:T58)</f>
        <v>16800000</v>
      </c>
      <c r="W56" s="52"/>
    </row>
    <row r="57" spans="1:23" s="53" customFormat="1" ht="32" x14ac:dyDescent="0.2">
      <c r="A57" s="51"/>
      <c r="B57" s="43"/>
      <c r="C57" s="69"/>
      <c r="D57" s="40" t="s">
        <v>57</v>
      </c>
      <c r="E57" s="61" t="s">
        <v>39</v>
      </c>
      <c r="F57" s="62" t="s">
        <v>40</v>
      </c>
      <c r="G57" s="70" t="s">
        <v>19</v>
      </c>
      <c r="H57" s="63">
        <v>2</v>
      </c>
      <c r="I57" s="63" t="s">
        <v>20</v>
      </c>
      <c r="J57" s="63" t="s">
        <v>21</v>
      </c>
      <c r="K57" s="63">
        <v>1</v>
      </c>
      <c r="L57" s="63" t="s">
        <v>22</v>
      </c>
      <c r="M57" s="63" t="s">
        <v>21</v>
      </c>
      <c r="N57" s="63">
        <v>2</v>
      </c>
      <c r="O57" s="63" t="s">
        <v>23</v>
      </c>
      <c r="P57" s="63" t="s">
        <v>21</v>
      </c>
      <c r="Q57" s="63">
        <v>24</v>
      </c>
      <c r="R57" s="63" t="s">
        <v>30</v>
      </c>
      <c r="S57" s="64">
        <v>70000</v>
      </c>
      <c r="T57" s="45">
        <f>S57*Q57*N57*K57*H57</f>
        <v>6720000</v>
      </c>
      <c r="U57" s="45">
        <f>H57*5*Q57</f>
        <v>240</v>
      </c>
      <c r="W57" s="52"/>
    </row>
    <row r="58" spans="1:23" s="53" customFormat="1" ht="22.5" customHeight="1" x14ac:dyDescent="0.2">
      <c r="A58" s="51"/>
      <c r="B58" s="43"/>
      <c r="C58" s="69"/>
      <c r="D58" s="43"/>
      <c r="E58" s="61"/>
      <c r="F58" s="65" t="s">
        <v>41</v>
      </c>
      <c r="G58" s="24" t="s">
        <v>19</v>
      </c>
      <c r="H58" s="63">
        <v>2</v>
      </c>
      <c r="I58" s="63" t="s">
        <v>20</v>
      </c>
      <c r="J58" s="63" t="s">
        <v>21</v>
      </c>
      <c r="K58" s="63">
        <v>1</v>
      </c>
      <c r="L58" s="63" t="s">
        <v>22</v>
      </c>
      <c r="M58" s="63" t="s">
        <v>21</v>
      </c>
      <c r="N58" s="63">
        <v>3</v>
      </c>
      <c r="O58" s="63" t="s">
        <v>23</v>
      </c>
      <c r="P58" s="63" t="s">
        <v>21</v>
      </c>
      <c r="Q58" s="63">
        <v>24</v>
      </c>
      <c r="R58" s="63" t="s">
        <v>30</v>
      </c>
      <c r="S58" s="64">
        <v>70000</v>
      </c>
      <c r="T58" s="45">
        <f>S58*Q58*N58*K58*H58</f>
        <v>10080000</v>
      </c>
      <c r="U58" s="45">
        <f>SUM(U53,U57)</f>
        <v>480</v>
      </c>
      <c r="W58" s="52"/>
    </row>
    <row r="59" spans="1:23" s="53" customFormat="1" ht="22.5" customHeight="1" x14ac:dyDescent="0.2">
      <c r="A59" s="51"/>
      <c r="B59" s="43"/>
      <c r="C59" s="69"/>
      <c r="D59" s="51"/>
      <c r="E59" s="23" t="s">
        <v>26</v>
      </c>
      <c r="F59" s="23"/>
      <c r="G59" s="24"/>
      <c r="H59" s="72">
        <v>2</v>
      </c>
      <c r="I59" s="72" t="s">
        <v>20</v>
      </c>
      <c r="J59" s="72" t="s">
        <v>21</v>
      </c>
      <c r="K59" s="72">
        <v>1</v>
      </c>
      <c r="L59" s="72" t="s">
        <v>22</v>
      </c>
      <c r="M59" s="72" t="s">
        <v>21</v>
      </c>
      <c r="N59" s="72">
        <v>3</v>
      </c>
      <c r="O59" s="72" t="s">
        <v>23</v>
      </c>
      <c r="P59" s="72" t="s">
        <v>21</v>
      </c>
      <c r="Q59" s="63">
        <v>24</v>
      </c>
      <c r="R59" s="72" t="s">
        <v>24</v>
      </c>
      <c r="S59" s="73">
        <v>150000</v>
      </c>
      <c r="T59" s="74">
        <f>(H59*K59*N59*Q59*S59)</f>
        <v>21600000</v>
      </c>
      <c r="U59" s="45"/>
      <c r="W59" s="52"/>
    </row>
    <row r="60" spans="1:23" s="37" customFormat="1" ht="34.25" customHeight="1" x14ac:dyDescent="0.2">
      <c r="A60" s="33"/>
      <c r="B60" s="34">
        <v>7</v>
      </c>
      <c r="C60" s="193" t="s">
        <v>59</v>
      </c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35">
        <f>SUM(T61:T62)</f>
        <v>4200000</v>
      </c>
      <c r="W60" s="36"/>
    </row>
    <row r="61" spans="1:23" s="53" customFormat="1" ht="34.25" customHeight="1" x14ac:dyDescent="0.2">
      <c r="A61" s="51"/>
      <c r="B61" s="43"/>
      <c r="C61" s="69"/>
      <c r="D61" s="40" t="s">
        <v>60</v>
      </c>
      <c r="E61" s="75" t="s">
        <v>17</v>
      </c>
      <c r="F61" s="76" t="s">
        <v>18</v>
      </c>
      <c r="G61" s="70" t="s">
        <v>19</v>
      </c>
      <c r="H61" s="70">
        <v>2</v>
      </c>
      <c r="I61" s="70" t="s">
        <v>20</v>
      </c>
      <c r="J61" s="70" t="s">
        <v>21</v>
      </c>
      <c r="K61" s="70">
        <v>1</v>
      </c>
      <c r="L61" s="70" t="s">
        <v>22</v>
      </c>
      <c r="M61" s="70" t="s">
        <v>21</v>
      </c>
      <c r="N61" s="70">
        <v>2</v>
      </c>
      <c r="O61" s="70" t="s">
        <v>23</v>
      </c>
      <c r="P61" s="70" t="s">
        <v>21</v>
      </c>
      <c r="Q61" s="70">
        <v>6</v>
      </c>
      <c r="R61" s="70" t="s">
        <v>24</v>
      </c>
      <c r="S61" s="77">
        <v>70000</v>
      </c>
      <c r="T61" s="74">
        <f>(H61*K61*N61*Q61*S61)</f>
        <v>1680000</v>
      </c>
      <c r="U61" s="45">
        <f>H61*5*Q61</f>
        <v>60</v>
      </c>
      <c r="W61" s="52"/>
    </row>
    <row r="62" spans="1:23" s="53" customFormat="1" ht="34.25" customHeight="1" x14ac:dyDescent="0.2">
      <c r="A62" s="51"/>
      <c r="B62" s="43"/>
      <c r="C62" s="69"/>
      <c r="D62" s="43"/>
      <c r="E62" s="23"/>
      <c r="F62" s="23" t="s">
        <v>25</v>
      </c>
      <c r="G62" s="24" t="s">
        <v>19</v>
      </c>
      <c r="H62" s="24">
        <v>2</v>
      </c>
      <c r="I62" s="24" t="s">
        <v>20</v>
      </c>
      <c r="J62" s="24" t="s">
        <v>21</v>
      </c>
      <c r="K62" s="24">
        <v>1</v>
      </c>
      <c r="L62" s="24" t="s">
        <v>22</v>
      </c>
      <c r="M62" s="24" t="s">
        <v>21</v>
      </c>
      <c r="N62" s="24">
        <v>3</v>
      </c>
      <c r="O62" s="24" t="s">
        <v>23</v>
      </c>
      <c r="P62" s="24" t="s">
        <v>21</v>
      </c>
      <c r="Q62" s="70">
        <v>6</v>
      </c>
      <c r="R62" s="24" t="s">
        <v>24</v>
      </c>
      <c r="S62" s="25">
        <v>70000</v>
      </c>
      <c r="T62" s="74">
        <f>(H62*K62*N62*Q62*S62)</f>
        <v>2520000</v>
      </c>
      <c r="U62" s="45"/>
      <c r="W62" s="52"/>
    </row>
    <row r="63" spans="1:23" s="53" customFormat="1" ht="34.25" customHeight="1" x14ac:dyDescent="0.2">
      <c r="A63" s="51"/>
      <c r="B63" s="43"/>
      <c r="C63" s="69"/>
      <c r="D63" s="43"/>
      <c r="E63" s="23" t="s">
        <v>26</v>
      </c>
      <c r="F63" s="23"/>
      <c r="G63" s="24"/>
      <c r="H63" s="24">
        <v>2</v>
      </c>
      <c r="I63" s="24" t="s">
        <v>20</v>
      </c>
      <c r="J63" s="24" t="s">
        <v>21</v>
      </c>
      <c r="K63" s="24">
        <v>1</v>
      </c>
      <c r="L63" s="24" t="s">
        <v>22</v>
      </c>
      <c r="M63" s="24" t="s">
        <v>21</v>
      </c>
      <c r="N63" s="24">
        <v>3</v>
      </c>
      <c r="O63" s="24" t="s">
        <v>23</v>
      </c>
      <c r="P63" s="24" t="s">
        <v>21</v>
      </c>
      <c r="Q63" s="70">
        <v>4</v>
      </c>
      <c r="R63" s="24" t="s">
        <v>24</v>
      </c>
      <c r="S63" s="25">
        <v>150000</v>
      </c>
      <c r="T63" s="74">
        <f>(H63*K63*N63*Q63*S63)</f>
        <v>3600000</v>
      </c>
      <c r="U63" s="45"/>
      <c r="W63" s="52"/>
    </row>
    <row r="64" spans="1:23" s="37" customFormat="1" ht="33.5" customHeight="1" x14ac:dyDescent="0.2">
      <c r="A64" s="78" t="s">
        <v>61</v>
      </c>
      <c r="B64" s="79"/>
      <c r="C64" s="80" t="s">
        <v>62</v>
      </c>
      <c r="D64" s="79"/>
      <c r="E64" s="80"/>
      <c r="F64" s="80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81">
        <f>SUM(U65,U90,U109,U118,U139,U160,U181,U191,U200,U205)</f>
        <v>352807500</v>
      </c>
      <c r="V64" s="82"/>
      <c r="W64" s="36"/>
    </row>
    <row r="65" spans="1:23" s="59" customFormat="1" ht="35" customHeight="1" x14ac:dyDescent="0.2">
      <c r="A65" s="54"/>
      <c r="B65" s="55">
        <v>1</v>
      </c>
      <c r="C65" s="189" t="s">
        <v>63</v>
      </c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83">
        <f>SUM(U66,U70,U74,U78,U86)</f>
        <v>46400000</v>
      </c>
      <c r="V65" s="57"/>
      <c r="W65" s="58"/>
    </row>
    <row r="66" spans="1:23" s="59" customFormat="1" ht="35" customHeight="1" x14ac:dyDescent="0.2">
      <c r="A66" s="54"/>
      <c r="B66" s="55"/>
      <c r="C66" s="185" t="s">
        <v>64</v>
      </c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56">
        <f>SUM(T67:T69)</f>
        <v>19200000</v>
      </c>
      <c r="V66" s="57"/>
      <c r="W66" s="58"/>
    </row>
    <row r="67" spans="1:23" s="59" customFormat="1" ht="30.75" customHeight="1" x14ac:dyDescent="0.2">
      <c r="A67" s="54"/>
      <c r="B67" s="55"/>
      <c r="C67" s="84"/>
      <c r="D67" s="40" t="s">
        <v>65</v>
      </c>
      <c r="E67" s="85" t="s">
        <v>39</v>
      </c>
      <c r="F67" s="86" t="s">
        <v>66</v>
      </c>
      <c r="G67" s="34" t="s">
        <v>19</v>
      </c>
      <c r="H67" s="87">
        <v>2</v>
      </c>
      <c r="I67" s="87" t="s">
        <v>20</v>
      </c>
      <c r="J67" s="87" t="s">
        <v>21</v>
      </c>
      <c r="K67" s="87">
        <v>1</v>
      </c>
      <c r="L67" s="87" t="s">
        <v>22</v>
      </c>
      <c r="M67" s="87" t="s">
        <v>21</v>
      </c>
      <c r="N67" s="87">
        <v>2</v>
      </c>
      <c r="O67" s="87" t="s">
        <v>23</v>
      </c>
      <c r="P67" s="87" t="s">
        <v>21</v>
      </c>
      <c r="Q67" s="87">
        <v>12</v>
      </c>
      <c r="R67" s="87" t="s">
        <v>31</v>
      </c>
      <c r="S67" s="88">
        <v>70000</v>
      </c>
      <c r="T67" s="89">
        <f>H67*K67*N67*Q67*S67</f>
        <v>3360000</v>
      </c>
      <c r="U67" s="87"/>
      <c r="V67" s="90"/>
      <c r="W67" s="58"/>
    </row>
    <row r="68" spans="1:23" s="59" customFormat="1" ht="29" customHeight="1" x14ac:dyDescent="0.2">
      <c r="A68" s="54"/>
      <c r="B68" s="55"/>
      <c r="C68" s="84"/>
      <c r="D68" s="87"/>
      <c r="E68" s="91"/>
      <c r="F68" s="86" t="s">
        <v>67</v>
      </c>
      <c r="G68" s="34" t="s">
        <v>19</v>
      </c>
      <c r="H68" s="87">
        <v>2</v>
      </c>
      <c r="I68" s="87" t="s">
        <v>20</v>
      </c>
      <c r="J68" s="87" t="s">
        <v>21</v>
      </c>
      <c r="K68" s="87">
        <v>1</v>
      </c>
      <c r="L68" s="87" t="s">
        <v>22</v>
      </c>
      <c r="M68" s="87" t="s">
        <v>21</v>
      </c>
      <c r="N68" s="87">
        <v>3</v>
      </c>
      <c r="O68" s="87" t="s">
        <v>23</v>
      </c>
      <c r="P68" s="87" t="s">
        <v>21</v>
      </c>
      <c r="Q68" s="87">
        <v>12</v>
      </c>
      <c r="R68" s="87" t="s">
        <v>31</v>
      </c>
      <c r="S68" s="88">
        <v>70000</v>
      </c>
      <c r="T68" s="89">
        <f>H68*K68*N68*Q68*S68</f>
        <v>5040000</v>
      </c>
      <c r="U68" s="87"/>
      <c r="W68" s="58"/>
    </row>
    <row r="69" spans="1:23" s="59" customFormat="1" ht="29" customHeight="1" x14ac:dyDescent="0.2">
      <c r="A69" s="54"/>
      <c r="B69" s="55"/>
      <c r="C69" s="84"/>
      <c r="D69" s="87"/>
      <c r="E69" s="91"/>
      <c r="F69" s="86" t="s">
        <v>68</v>
      </c>
      <c r="G69" s="34" t="s">
        <v>19</v>
      </c>
      <c r="H69" s="87">
        <v>2</v>
      </c>
      <c r="I69" s="87" t="s">
        <v>20</v>
      </c>
      <c r="J69" s="87" t="s">
        <v>21</v>
      </c>
      <c r="K69" s="87">
        <v>1</v>
      </c>
      <c r="L69" s="87" t="s">
        <v>22</v>
      </c>
      <c r="M69" s="87" t="s">
        <v>21</v>
      </c>
      <c r="N69" s="87">
        <v>3</v>
      </c>
      <c r="O69" s="87" t="s">
        <v>23</v>
      </c>
      <c r="P69" s="87" t="s">
        <v>21</v>
      </c>
      <c r="Q69" s="87">
        <v>12</v>
      </c>
      <c r="R69" s="87" t="s">
        <v>31</v>
      </c>
      <c r="S69" s="88">
        <v>150000</v>
      </c>
      <c r="T69" s="89">
        <f>H69*K69*N69*Q69*S69</f>
        <v>10800000</v>
      </c>
      <c r="U69" s="87"/>
      <c r="W69" s="58"/>
    </row>
    <row r="70" spans="1:23" s="59" customFormat="1" ht="35" customHeight="1" x14ac:dyDescent="0.2">
      <c r="A70" s="54"/>
      <c r="B70" s="55"/>
      <c r="C70" s="185" t="s">
        <v>69</v>
      </c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56">
        <f>SUM(T71:T73)</f>
        <v>9600000</v>
      </c>
      <c r="V70" s="57"/>
      <c r="W70" s="58"/>
    </row>
    <row r="71" spans="1:23" s="59" customFormat="1" ht="30.75" customHeight="1" x14ac:dyDescent="0.2">
      <c r="A71" s="54"/>
      <c r="B71" s="55"/>
      <c r="C71" s="84"/>
      <c r="D71" s="40" t="s">
        <v>65</v>
      </c>
      <c r="E71" s="85" t="s">
        <v>39</v>
      </c>
      <c r="F71" s="86" t="s">
        <v>66</v>
      </c>
      <c r="G71" s="34" t="s">
        <v>19</v>
      </c>
      <c r="H71" s="87">
        <v>2</v>
      </c>
      <c r="I71" s="87" t="s">
        <v>20</v>
      </c>
      <c r="J71" s="87" t="s">
        <v>21</v>
      </c>
      <c r="K71" s="87">
        <v>1</v>
      </c>
      <c r="L71" s="87" t="s">
        <v>22</v>
      </c>
      <c r="M71" s="87" t="s">
        <v>21</v>
      </c>
      <c r="N71" s="87">
        <v>2</v>
      </c>
      <c r="O71" s="87" t="s">
        <v>23</v>
      </c>
      <c r="P71" s="87" t="s">
        <v>21</v>
      </c>
      <c r="Q71" s="87">
        <v>6</v>
      </c>
      <c r="R71" s="87" t="s">
        <v>31</v>
      </c>
      <c r="S71" s="88">
        <v>70000</v>
      </c>
      <c r="T71" s="89">
        <f>H71*K71*N71*Q71*S71</f>
        <v>1680000</v>
      </c>
      <c r="U71" s="87"/>
      <c r="V71" s="90"/>
      <c r="W71" s="58"/>
    </row>
    <row r="72" spans="1:23" s="59" customFormat="1" ht="29" customHeight="1" x14ac:dyDescent="0.2">
      <c r="A72" s="54"/>
      <c r="B72" s="55"/>
      <c r="C72" s="84"/>
      <c r="D72" s="87"/>
      <c r="E72" s="91"/>
      <c r="F72" s="86" t="s">
        <v>67</v>
      </c>
      <c r="G72" s="34" t="s">
        <v>19</v>
      </c>
      <c r="H72" s="87">
        <v>2</v>
      </c>
      <c r="I72" s="87" t="s">
        <v>20</v>
      </c>
      <c r="J72" s="87" t="s">
        <v>21</v>
      </c>
      <c r="K72" s="87">
        <v>1</v>
      </c>
      <c r="L72" s="87" t="s">
        <v>22</v>
      </c>
      <c r="M72" s="87" t="s">
        <v>21</v>
      </c>
      <c r="N72" s="87">
        <v>3</v>
      </c>
      <c r="O72" s="87" t="s">
        <v>23</v>
      </c>
      <c r="P72" s="87" t="s">
        <v>21</v>
      </c>
      <c r="Q72" s="87">
        <v>6</v>
      </c>
      <c r="R72" s="87" t="s">
        <v>31</v>
      </c>
      <c r="S72" s="88">
        <v>70000</v>
      </c>
      <c r="T72" s="89">
        <f>H72*K72*N72*Q72*S72</f>
        <v>2520000</v>
      </c>
      <c r="U72" s="87"/>
      <c r="W72" s="58"/>
    </row>
    <row r="73" spans="1:23" s="59" customFormat="1" ht="29" customHeight="1" x14ac:dyDescent="0.2">
      <c r="A73" s="54"/>
      <c r="B73" s="55"/>
      <c r="C73" s="84"/>
      <c r="D73" s="87"/>
      <c r="E73" s="91"/>
      <c r="F73" s="86" t="s">
        <v>68</v>
      </c>
      <c r="G73" s="34" t="s">
        <v>19</v>
      </c>
      <c r="H73" s="87">
        <v>2</v>
      </c>
      <c r="I73" s="87" t="s">
        <v>20</v>
      </c>
      <c r="J73" s="87" t="s">
        <v>21</v>
      </c>
      <c r="K73" s="87">
        <v>1</v>
      </c>
      <c r="L73" s="87" t="s">
        <v>22</v>
      </c>
      <c r="M73" s="87" t="s">
        <v>21</v>
      </c>
      <c r="N73" s="87">
        <v>3</v>
      </c>
      <c r="O73" s="87" t="s">
        <v>23</v>
      </c>
      <c r="P73" s="87" t="s">
        <v>21</v>
      </c>
      <c r="Q73" s="87">
        <v>6</v>
      </c>
      <c r="R73" s="87" t="s">
        <v>31</v>
      </c>
      <c r="S73" s="88">
        <v>150000</v>
      </c>
      <c r="T73" s="89">
        <f>H73*K73*N73*Q73*S73</f>
        <v>5400000</v>
      </c>
      <c r="U73" s="87"/>
      <c r="W73" s="58"/>
    </row>
    <row r="74" spans="1:23" s="59" customFormat="1" ht="35" customHeight="1" x14ac:dyDescent="0.2">
      <c r="A74" s="54"/>
      <c r="B74" s="55"/>
      <c r="C74" s="185" t="s">
        <v>70</v>
      </c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56">
        <f>SUM(T75:T77)</f>
        <v>4800000</v>
      </c>
      <c r="V74" s="57"/>
      <c r="W74" s="58"/>
    </row>
    <row r="75" spans="1:23" s="59" customFormat="1" ht="30.75" customHeight="1" x14ac:dyDescent="0.2">
      <c r="A75" s="54"/>
      <c r="B75" s="55"/>
      <c r="C75" s="84"/>
      <c r="D75" s="40" t="s">
        <v>65</v>
      </c>
      <c r="E75" s="85" t="s">
        <v>39</v>
      </c>
      <c r="F75" s="86" t="s">
        <v>66</v>
      </c>
      <c r="G75" s="34" t="s">
        <v>19</v>
      </c>
      <c r="H75" s="87">
        <v>2</v>
      </c>
      <c r="I75" s="87" t="s">
        <v>20</v>
      </c>
      <c r="J75" s="87" t="s">
        <v>21</v>
      </c>
      <c r="K75" s="87">
        <v>1</v>
      </c>
      <c r="L75" s="87" t="s">
        <v>22</v>
      </c>
      <c r="M75" s="87" t="s">
        <v>21</v>
      </c>
      <c r="N75" s="87">
        <v>2</v>
      </c>
      <c r="O75" s="87" t="s">
        <v>23</v>
      </c>
      <c r="P75" s="87" t="s">
        <v>21</v>
      </c>
      <c r="Q75" s="87">
        <v>3</v>
      </c>
      <c r="R75" s="87" t="s">
        <v>31</v>
      </c>
      <c r="S75" s="88">
        <v>70000</v>
      </c>
      <c r="T75" s="89">
        <f>H75*K75*N75*Q75*S75</f>
        <v>840000</v>
      </c>
      <c r="U75" s="87"/>
      <c r="V75" s="90"/>
      <c r="W75" s="58"/>
    </row>
    <row r="76" spans="1:23" s="59" customFormat="1" ht="29" customHeight="1" x14ac:dyDescent="0.2">
      <c r="A76" s="54"/>
      <c r="B76" s="55"/>
      <c r="C76" s="84"/>
      <c r="D76" s="87"/>
      <c r="E76" s="91"/>
      <c r="F76" s="86" t="s">
        <v>67</v>
      </c>
      <c r="G76" s="34" t="s">
        <v>19</v>
      </c>
      <c r="H76" s="87">
        <v>2</v>
      </c>
      <c r="I76" s="87" t="s">
        <v>20</v>
      </c>
      <c r="J76" s="87" t="s">
        <v>21</v>
      </c>
      <c r="K76" s="87">
        <v>1</v>
      </c>
      <c r="L76" s="87" t="s">
        <v>22</v>
      </c>
      <c r="M76" s="87" t="s">
        <v>21</v>
      </c>
      <c r="N76" s="87">
        <v>3</v>
      </c>
      <c r="O76" s="87" t="s">
        <v>23</v>
      </c>
      <c r="P76" s="87" t="s">
        <v>21</v>
      </c>
      <c r="Q76" s="87">
        <v>3</v>
      </c>
      <c r="R76" s="87" t="s">
        <v>31</v>
      </c>
      <c r="S76" s="88">
        <v>70000</v>
      </c>
      <c r="T76" s="89">
        <f>H76*K76*N76*Q76*S76</f>
        <v>1260000</v>
      </c>
      <c r="U76" s="87"/>
      <c r="W76" s="58"/>
    </row>
    <row r="77" spans="1:23" s="59" customFormat="1" ht="29" customHeight="1" x14ac:dyDescent="0.2">
      <c r="A77" s="54"/>
      <c r="B77" s="55"/>
      <c r="C77" s="84"/>
      <c r="D77" s="87"/>
      <c r="E77" s="91"/>
      <c r="F77" s="86" t="s">
        <v>68</v>
      </c>
      <c r="G77" s="34" t="s">
        <v>19</v>
      </c>
      <c r="H77" s="87">
        <v>2</v>
      </c>
      <c r="I77" s="87" t="s">
        <v>20</v>
      </c>
      <c r="J77" s="87" t="s">
        <v>21</v>
      </c>
      <c r="K77" s="87">
        <v>1</v>
      </c>
      <c r="L77" s="87" t="s">
        <v>22</v>
      </c>
      <c r="M77" s="87" t="s">
        <v>21</v>
      </c>
      <c r="N77" s="87">
        <v>3</v>
      </c>
      <c r="O77" s="87" t="s">
        <v>23</v>
      </c>
      <c r="P77" s="87" t="s">
        <v>21</v>
      </c>
      <c r="Q77" s="87">
        <v>3</v>
      </c>
      <c r="R77" s="87" t="s">
        <v>31</v>
      </c>
      <c r="S77" s="88">
        <v>150000</v>
      </c>
      <c r="T77" s="89">
        <f>H77*K77*N77*Q77*S77</f>
        <v>2700000</v>
      </c>
      <c r="U77" s="87"/>
      <c r="W77" s="58"/>
    </row>
    <row r="78" spans="1:23" s="59" customFormat="1" ht="35" customHeight="1" x14ac:dyDescent="0.2">
      <c r="A78" s="54"/>
      <c r="B78" s="55"/>
      <c r="C78" s="185" t="s">
        <v>71</v>
      </c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56">
        <f>SUM(T79:T81)</f>
        <v>9600000</v>
      </c>
      <c r="V78" s="57"/>
      <c r="W78" s="58"/>
    </row>
    <row r="79" spans="1:23" s="59" customFormat="1" ht="30.75" customHeight="1" x14ac:dyDescent="0.2">
      <c r="A79" s="54"/>
      <c r="B79" s="55"/>
      <c r="C79" s="84"/>
      <c r="D79" s="40" t="s">
        <v>65</v>
      </c>
      <c r="E79" s="85" t="s">
        <v>39</v>
      </c>
      <c r="F79" s="86" t="s">
        <v>66</v>
      </c>
      <c r="G79" s="34" t="s">
        <v>19</v>
      </c>
      <c r="H79" s="87">
        <v>2</v>
      </c>
      <c r="I79" s="87" t="s">
        <v>20</v>
      </c>
      <c r="J79" s="87" t="s">
        <v>21</v>
      </c>
      <c r="K79" s="87">
        <v>1</v>
      </c>
      <c r="L79" s="87" t="s">
        <v>22</v>
      </c>
      <c r="M79" s="87" t="s">
        <v>21</v>
      </c>
      <c r="N79" s="87">
        <v>2</v>
      </c>
      <c r="O79" s="87" t="s">
        <v>23</v>
      </c>
      <c r="P79" s="87" t="s">
        <v>21</v>
      </c>
      <c r="Q79" s="87">
        <v>6</v>
      </c>
      <c r="R79" s="87" t="s">
        <v>31</v>
      </c>
      <c r="S79" s="88">
        <v>70000</v>
      </c>
      <c r="T79" s="89">
        <f>H79*K79*N79*Q79*S79</f>
        <v>1680000</v>
      </c>
      <c r="U79" s="87"/>
      <c r="V79" s="90"/>
      <c r="W79" s="58"/>
    </row>
    <row r="80" spans="1:23" s="59" customFormat="1" ht="29" customHeight="1" x14ac:dyDescent="0.2">
      <c r="A80" s="54"/>
      <c r="B80" s="55"/>
      <c r="C80" s="84"/>
      <c r="D80" s="87"/>
      <c r="E80" s="91"/>
      <c r="F80" s="86" t="s">
        <v>67</v>
      </c>
      <c r="G80" s="34" t="s">
        <v>19</v>
      </c>
      <c r="H80" s="87">
        <v>2</v>
      </c>
      <c r="I80" s="87" t="s">
        <v>20</v>
      </c>
      <c r="J80" s="87" t="s">
        <v>21</v>
      </c>
      <c r="K80" s="87">
        <v>1</v>
      </c>
      <c r="L80" s="87" t="s">
        <v>22</v>
      </c>
      <c r="M80" s="87" t="s">
        <v>21</v>
      </c>
      <c r="N80" s="87">
        <v>3</v>
      </c>
      <c r="O80" s="87" t="s">
        <v>23</v>
      </c>
      <c r="P80" s="87" t="s">
        <v>21</v>
      </c>
      <c r="Q80" s="87">
        <v>6</v>
      </c>
      <c r="R80" s="87" t="s">
        <v>31</v>
      </c>
      <c r="S80" s="88">
        <v>70000</v>
      </c>
      <c r="T80" s="89">
        <f>H80*K80*N80*Q80*S80</f>
        <v>2520000</v>
      </c>
      <c r="U80" s="87"/>
      <c r="W80" s="58"/>
    </row>
    <row r="81" spans="1:23" s="59" customFormat="1" ht="29" customHeight="1" x14ac:dyDescent="0.2">
      <c r="A81" s="54"/>
      <c r="B81" s="55"/>
      <c r="C81" s="84"/>
      <c r="D81" s="87"/>
      <c r="E81" s="91"/>
      <c r="F81" s="86" t="s">
        <v>68</v>
      </c>
      <c r="G81" s="34" t="s">
        <v>19</v>
      </c>
      <c r="H81" s="87">
        <v>2</v>
      </c>
      <c r="I81" s="87" t="s">
        <v>20</v>
      </c>
      <c r="J81" s="87" t="s">
        <v>21</v>
      </c>
      <c r="K81" s="87">
        <v>1</v>
      </c>
      <c r="L81" s="87" t="s">
        <v>22</v>
      </c>
      <c r="M81" s="87" t="s">
        <v>21</v>
      </c>
      <c r="N81" s="87">
        <v>3</v>
      </c>
      <c r="O81" s="87" t="s">
        <v>23</v>
      </c>
      <c r="P81" s="87" t="s">
        <v>21</v>
      </c>
      <c r="Q81" s="87">
        <v>6</v>
      </c>
      <c r="R81" s="87" t="s">
        <v>31</v>
      </c>
      <c r="S81" s="88">
        <v>150000</v>
      </c>
      <c r="T81" s="89">
        <f>H81*K81*N81*Q81*S81</f>
        <v>5400000</v>
      </c>
      <c r="U81" s="87"/>
      <c r="W81" s="58"/>
    </row>
    <row r="82" spans="1:23" s="59" customFormat="1" ht="35" customHeight="1" x14ac:dyDescent="0.2">
      <c r="A82" s="54"/>
      <c r="B82" s="55"/>
      <c r="C82" s="185" t="s">
        <v>72</v>
      </c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56">
        <f>SUM(T83:T85)</f>
        <v>4800000</v>
      </c>
      <c r="V82" s="57"/>
      <c r="W82" s="58"/>
    </row>
    <row r="83" spans="1:23" s="59" customFormat="1" ht="30.75" customHeight="1" x14ac:dyDescent="0.2">
      <c r="A83" s="54"/>
      <c r="B83" s="55"/>
      <c r="C83" s="84"/>
      <c r="D83" s="40" t="s">
        <v>65</v>
      </c>
      <c r="E83" s="85" t="s">
        <v>39</v>
      </c>
      <c r="F83" s="86" t="s">
        <v>66</v>
      </c>
      <c r="G83" s="34" t="s">
        <v>19</v>
      </c>
      <c r="H83" s="87">
        <v>2</v>
      </c>
      <c r="I83" s="87" t="s">
        <v>20</v>
      </c>
      <c r="J83" s="87" t="s">
        <v>21</v>
      </c>
      <c r="K83" s="87">
        <v>1</v>
      </c>
      <c r="L83" s="87" t="s">
        <v>22</v>
      </c>
      <c r="M83" s="87" t="s">
        <v>21</v>
      </c>
      <c r="N83" s="87">
        <v>2</v>
      </c>
      <c r="O83" s="87" t="s">
        <v>23</v>
      </c>
      <c r="P83" s="87" t="s">
        <v>21</v>
      </c>
      <c r="Q83" s="87">
        <v>3</v>
      </c>
      <c r="R83" s="87" t="s">
        <v>31</v>
      </c>
      <c r="S83" s="88">
        <v>70000</v>
      </c>
      <c r="T83" s="89">
        <f>H83*K83*N83*Q83*S83</f>
        <v>840000</v>
      </c>
      <c r="U83" s="87"/>
      <c r="V83" s="90"/>
      <c r="W83" s="58"/>
    </row>
    <row r="84" spans="1:23" s="59" customFormat="1" ht="29" customHeight="1" x14ac:dyDescent="0.2">
      <c r="A84" s="54"/>
      <c r="B84" s="55"/>
      <c r="C84" s="84"/>
      <c r="D84" s="87"/>
      <c r="E84" s="91"/>
      <c r="F84" s="86" t="s">
        <v>67</v>
      </c>
      <c r="G84" s="34" t="s">
        <v>19</v>
      </c>
      <c r="H84" s="87">
        <v>2</v>
      </c>
      <c r="I84" s="87" t="s">
        <v>20</v>
      </c>
      <c r="J84" s="87" t="s">
        <v>21</v>
      </c>
      <c r="K84" s="87">
        <v>1</v>
      </c>
      <c r="L84" s="87" t="s">
        <v>22</v>
      </c>
      <c r="M84" s="87" t="s">
        <v>21</v>
      </c>
      <c r="N84" s="87">
        <v>3</v>
      </c>
      <c r="O84" s="87" t="s">
        <v>23</v>
      </c>
      <c r="P84" s="87" t="s">
        <v>21</v>
      </c>
      <c r="Q84" s="87">
        <v>3</v>
      </c>
      <c r="R84" s="87" t="s">
        <v>31</v>
      </c>
      <c r="S84" s="88">
        <v>70000</v>
      </c>
      <c r="T84" s="89">
        <f>H84*K84*N84*Q84*S84</f>
        <v>1260000</v>
      </c>
      <c r="U84" s="87"/>
      <c r="W84" s="58"/>
    </row>
    <row r="85" spans="1:23" s="59" customFormat="1" ht="29" customHeight="1" x14ac:dyDescent="0.2">
      <c r="A85" s="54"/>
      <c r="B85" s="55"/>
      <c r="C85" s="84"/>
      <c r="D85" s="87"/>
      <c r="E85" s="91"/>
      <c r="F85" s="86" t="s">
        <v>68</v>
      </c>
      <c r="G85" s="34" t="s">
        <v>19</v>
      </c>
      <c r="H85" s="87">
        <v>2</v>
      </c>
      <c r="I85" s="87" t="s">
        <v>20</v>
      </c>
      <c r="J85" s="87" t="s">
        <v>21</v>
      </c>
      <c r="K85" s="87">
        <v>1</v>
      </c>
      <c r="L85" s="87" t="s">
        <v>22</v>
      </c>
      <c r="M85" s="87" t="s">
        <v>21</v>
      </c>
      <c r="N85" s="87">
        <v>3</v>
      </c>
      <c r="O85" s="87" t="s">
        <v>23</v>
      </c>
      <c r="P85" s="87" t="s">
        <v>21</v>
      </c>
      <c r="Q85" s="87">
        <v>3</v>
      </c>
      <c r="R85" s="87" t="s">
        <v>31</v>
      </c>
      <c r="S85" s="88">
        <v>150000</v>
      </c>
      <c r="T85" s="89">
        <f>H85*K85*N85*Q85*S85</f>
        <v>2700000</v>
      </c>
      <c r="U85" s="87"/>
      <c r="W85" s="58"/>
    </row>
    <row r="86" spans="1:23" s="59" customFormat="1" ht="35" customHeight="1" x14ac:dyDescent="0.2">
      <c r="A86" s="54"/>
      <c r="B86" s="55"/>
      <c r="C86" s="185" t="s">
        <v>73</v>
      </c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56">
        <f>SUM(T87:T89)</f>
        <v>3200000</v>
      </c>
      <c r="V86" s="57"/>
      <c r="W86" s="58"/>
    </row>
    <row r="87" spans="1:23" s="59" customFormat="1" ht="30.75" customHeight="1" x14ac:dyDescent="0.2">
      <c r="A87" s="54"/>
      <c r="B87" s="55"/>
      <c r="C87" s="84"/>
      <c r="D87" s="40" t="s">
        <v>65</v>
      </c>
      <c r="E87" s="85" t="s">
        <v>39</v>
      </c>
      <c r="F87" s="86" t="s">
        <v>66</v>
      </c>
      <c r="G87" s="34" t="s">
        <v>19</v>
      </c>
      <c r="H87" s="87">
        <v>2</v>
      </c>
      <c r="I87" s="87" t="s">
        <v>20</v>
      </c>
      <c r="J87" s="87" t="s">
        <v>21</v>
      </c>
      <c r="K87" s="87">
        <v>1</v>
      </c>
      <c r="L87" s="87" t="s">
        <v>22</v>
      </c>
      <c r="M87" s="87" t="s">
        <v>21</v>
      </c>
      <c r="N87" s="87">
        <v>2</v>
      </c>
      <c r="O87" s="87" t="s">
        <v>23</v>
      </c>
      <c r="P87" s="87" t="s">
        <v>21</v>
      </c>
      <c r="Q87" s="87">
        <v>2</v>
      </c>
      <c r="R87" s="87" t="s">
        <v>31</v>
      </c>
      <c r="S87" s="88">
        <v>70000</v>
      </c>
      <c r="T87" s="89">
        <f>H87*K87*N87*Q87*S87</f>
        <v>560000</v>
      </c>
      <c r="U87" s="87"/>
      <c r="V87" s="90"/>
      <c r="W87" s="58"/>
    </row>
    <row r="88" spans="1:23" s="59" customFormat="1" ht="29" customHeight="1" x14ac:dyDescent="0.2">
      <c r="A88" s="54"/>
      <c r="B88" s="55"/>
      <c r="C88" s="84"/>
      <c r="D88" s="87"/>
      <c r="E88" s="91"/>
      <c r="F88" s="86" t="s">
        <v>67</v>
      </c>
      <c r="G88" s="34" t="s">
        <v>19</v>
      </c>
      <c r="H88" s="87">
        <v>2</v>
      </c>
      <c r="I88" s="87" t="s">
        <v>20</v>
      </c>
      <c r="J88" s="87" t="s">
        <v>21</v>
      </c>
      <c r="K88" s="87">
        <v>1</v>
      </c>
      <c r="L88" s="87" t="s">
        <v>22</v>
      </c>
      <c r="M88" s="87" t="s">
        <v>21</v>
      </c>
      <c r="N88" s="87">
        <v>3</v>
      </c>
      <c r="O88" s="87" t="s">
        <v>23</v>
      </c>
      <c r="P88" s="87" t="s">
        <v>21</v>
      </c>
      <c r="Q88" s="87">
        <v>2</v>
      </c>
      <c r="R88" s="87" t="s">
        <v>31</v>
      </c>
      <c r="S88" s="88">
        <v>70000</v>
      </c>
      <c r="T88" s="89">
        <f>H88*K88*N88*Q88*S88</f>
        <v>840000</v>
      </c>
      <c r="U88" s="87"/>
      <c r="W88" s="58"/>
    </row>
    <row r="89" spans="1:23" s="59" customFormat="1" ht="29" customHeight="1" x14ac:dyDescent="0.2">
      <c r="A89" s="54"/>
      <c r="B89" s="55"/>
      <c r="C89" s="84"/>
      <c r="D89" s="87"/>
      <c r="E89" s="91"/>
      <c r="F89" s="86" t="s">
        <v>68</v>
      </c>
      <c r="G89" s="34" t="s">
        <v>19</v>
      </c>
      <c r="H89" s="87">
        <v>2</v>
      </c>
      <c r="I89" s="87" t="s">
        <v>20</v>
      </c>
      <c r="J89" s="87" t="s">
        <v>21</v>
      </c>
      <c r="K89" s="87">
        <v>1</v>
      </c>
      <c r="L89" s="87" t="s">
        <v>22</v>
      </c>
      <c r="M89" s="87" t="s">
        <v>21</v>
      </c>
      <c r="N89" s="87">
        <v>3</v>
      </c>
      <c r="O89" s="87" t="s">
        <v>23</v>
      </c>
      <c r="P89" s="87" t="s">
        <v>21</v>
      </c>
      <c r="Q89" s="87">
        <v>2</v>
      </c>
      <c r="R89" s="87" t="s">
        <v>31</v>
      </c>
      <c r="S89" s="88">
        <v>150000</v>
      </c>
      <c r="T89" s="89">
        <f>H89*K89*N89*Q89*S89</f>
        <v>1800000</v>
      </c>
      <c r="U89" s="87"/>
      <c r="W89" s="58"/>
    </row>
    <row r="90" spans="1:23" s="59" customFormat="1" ht="29" customHeight="1" x14ac:dyDescent="0.2">
      <c r="A90" s="54"/>
      <c r="B90" s="55">
        <v>2</v>
      </c>
      <c r="C90" s="190" t="s">
        <v>74</v>
      </c>
      <c r="D90" s="190"/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190"/>
      <c r="R90" s="190"/>
      <c r="S90" s="190"/>
      <c r="T90" s="190"/>
      <c r="U90" s="83">
        <f>SUM(U91,U96,U100,U104)</f>
        <v>75935000</v>
      </c>
      <c r="W90" s="58"/>
    </row>
    <row r="91" spans="1:23" s="59" customFormat="1" ht="35" customHeight="1" x14ac:dyDescent="0.2">
      <c r="A91" s="54"/>
      <c r="B91" s="55"/>
      <c r="C91" s="187" t="s">
        <v>75</v>
      </c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56">
        <f>SUM(T92:T95)</f>
        <v>39750000</v>
      </c>
      <c r="V91" s="57"/>
      <c r="W91" s="58"/>
    </row>
    <row r="92" spans="1:23" s="59" customFormat="1" ht="30.75" customHeight="1" x14ac:dyDescent="0.2">
      <c r="A92" s="54"/>
      <c r="B92" s="55"/>
      <c r="C92" s="84"/>
      <c r="D92" s="40" t="s">
        <v>65</v>
      </c>
      <c r="E92" s="85" t="s">
        <v>39</v>
      </c>
      <c r="F92" s="86" t="s">
        <v>66</v>
      </c>
      <c r="G92" s="34" t="s">
        <v>19</v>
      </c>
      <c r="H92" s="87">
        <v>2</v>
      </c>
      <c r="I92" s="87" t="s">
        <v>20</v>
      </c>
      <c r="J92" s="87" t="s">
        <v>21</v>
      </c>
      <c r="K92" s="87">
        <v>1</v>
      </c>
      <c r="L92" s="87" t="s">
        <v>22</v>
      </c>
      <c r="M92" s="87" t="s">
        <v>21</v>
      </c>
      <c r="N92" s="87">
        <v>2</v>
      </c>
      <c r="O92" s="87" t="s">
        <v>23</v>
      </c>
      <c r="P92" s="87" t="s">
        <v>21</v>
      </c>
      <c r="Q92" s="87">
        <v>24</v>
      </c>
      <c r="R92" s="87" t="s">
        <v>31</v>
      </c>
      <c r="S92" s="88">
        <v>70000</v>
      </c>
      <c r="T92" s="89">
        <f>H92*K92*N92*Q92*S92</f>
        <v>6720000</v>
      </c>
      <c r="U92" s="87"/>
      <c r="V92" s="90"/>
      <c r="W92" s="58"/>
    </row>
    <row r="93" spans="1:23" s="59" customFormat="1" ht="29" customHeight="1" x14ac:dyDescent="0.2">
      <c r="A93" s="54"/>
      <c r="B93" s="55"/>
      <c r="C93" s="84"/>
      <c r="D93" s="87"/>
      <c r="E93" s="91"/>
      <c r="F93" s="86" t="s">
        <v>67</v>
      </c>
      <c r="G93" s="34" t="s">
        <v>19</v>
      </c>
      <c r="H93" s="87">
        <v>2</v>
      </c>
      <c r="I93" s="87" t="s">
        <v>20</v>
      </c>
      <c r="J93" s="87" t="s">
        <v>21</v>
      </c>
      <c r="K93" s="87">
        <v>1</v>
      </c>
      <c r="L93" s="87" t="s">
        <v>22</v>
      </c>
      <c r="M93" s="87" t="s">
        <v>21</v>
      </c>
      <c r="N93" s="87">
        <v>3</v>
      </c>
      <c r="O93" s="87" t="s">
        <v>23</v>
      </c>
      <c r="P93" s="87" t="s">
        <v>21</v>
      </c>
      <c r="Q93" s="87">
        <v>24</v>
      </c>
      <c r="R93" s="87" t="s">
        <v>31</v>
      </c>
      <c r="S93" s="88">
        <v>70000</v>
      </c>
      <c r="T93" s="89">
        <f>H93*K93*N93*Q93*S93</f>
        <v>10080000</v>
      </c>
      <c r="U93" s="87"/>
      <c r="W93" s="58"/>
    </row>
    <row r="94" spans="1:23" s="59" customFormat="1" ht="29" customHeight="1" x14ac:dyDescent="0.2">
      <c r="A94" s="54"/>
      <c r="B94" s="55"/>
      <c r="C94" s="84"/>
      <c r="D94" s="87"/>
      <c r="E94" s="91"/>
      <c r="F94" s="86" t="s">
        <v>68</v>
      </c>
      <c r="G94" s="34" t="s">
        <v>19</v>
      </c>
      <c r="H94" s="87">
        <v>2</v>
      </c>
      <c r="I94" s="87" t="s">
        <v>20</v>
      </c>
      <c r="J94" s="87" t="s">
        <v>21</v>
      </c>
      <c r="K94" s="87">
        <v>1</v>
      </c>
      <c r="L94" s="87" t="s">
        <v>22</v>
      </c>
      <c r="M94" s="87" t="s">
        <v>21</v>
      </c>
      <c r="N94" s="87">
        <v>3</v>
      </c>
      <c r="O94" s="87" t="s">
        <v>23</v>
      </c>
      <c r="P94" s="87" t="s">
        <v>21</v>
      </c>
      <c r="Q94" s="87">
        <v>24</v>
      </c>
      <c r="R94" s="87" t="s">
        <v>31</v>
      </c>
      <c r="S94" s="88">
        <v>150000</v>
      </c>
      <c r="T94" s="89">
        <f>H94*K94*N94*Q94*S94</f>
        <v>21600000</v>
      </c>
      <c r="U94" s="87"/>
      <c r="W94" s="58"/>
    </row>
    <row r="95" spans="1:23" s="53" customFormat="1" ht="21" customHeight="1" x14ac:dyDescent="0.2">
      <c r="A95" s="54"/>
      <c r="B95" s="55"/>
      <c r="C95" s="84"/>
      <c r="D95" s="87"/>
      <c r="E95" s="91"/>
      <c r="F95" s="86" t="s">
        <v>76</v>
      </c>
      <c r="G95" s="43"/>
      <c r="H95" s="87"/>
      <c r="I95" s="87"/>
      <c r="J95" s="87"/>
      <c r="K95" s="87">
        <v>15</v>
      </c>
      <c r="L95" s="87" t="s">
        <v>33</v>
      </c>
      <c r="M95" s="87" t="s">
        <v>21</v>
      </c>
      <c r="N95" s="87">
        <v>5</v>
      </c>
      <c r="O95" s="87" t="s">
        <v>23</v>
      </c>
      <c r="P95" s="87" t="s">
        <v>21</v>
      </c>
      <c r="Q95" s="87">
        <v>24</v>
      </c>
      <c r="R95" s="87" t="s">
        <v>35</v>
      </c>
      <c r="S95" s="88">
        <v>750</v>
      </c>
      <c r="T95" s="89">
        <f>K95*N95*Q95*S95</f>
        <v>1350000</v>
      </c>
      <c r="U95" s="87"/>
      <c r="W95" s="52"/>
    </row>
    <row r="96" spans="1:23" s="59" customFormat="1" ht="35" customHeight="1" x14ac:dyDescent="0.2">
      <c r="A96" s="54"/>
      <c r="B96" s="55"/>
      <c r="C96" s="187" t="s">
        <v>77</v>
      </c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56">
        <f>SUM(T97:T99)</f>
        <v>8120000</v>
      </c>
      <c r="V96" s="57"/>
      <c r="W96" s="58"/>
    </row>
    <row r="97" spans="1:23" s="59" customFormat="1" ht="30.75" customHeight="1" x14ac:dyDescent="0.2">
      <c r="A97" s="54"/>
      <c r="B97" s="55"/>
      <c r="C97" s="84"/>
      <c r="D97" s="40" t="s">
        <v>65</v>
      </c>
      <c r="E97" s="85" t="s">
        <v>39</v>
      </c>
      <c r="F97" s="86" t="s">
        <v>66</v>
      </c>
      <c r="G97" s="34" t="s">
        <v>19</v>
      </c>
      <c r="H97" s="87">
        <v>2</v>
      </c>
      <c r="I97" s="87" t="s">
        <v>20</v>
      </c>
      <c r="J97" s="87" t="s">
        <v>21</v>
      </c>
      <c r="K97" s="87">
        <v>1</v>
      </c>
      <c r="L97" s="87" t="s">
        <v>22</v>
      </c>
      <c r="M97" s="87" t="s">
        <v>21</v>
      </c>
      <c r="N97" s="87">
        <v>2</v>
      </c>
      <c r="O97" s="87" t="s">
        <v>23</v>
      </c>
      <c r="P97" s="87" t="s">
        <v>21</v>
      </c>
      <c r="Q97" s="87">
        <v>7</v>
      </c>
      <c r="R97" s="87" t="s">
        <v>31</v>
      </c>
      <c r="S97" s="88">
        <v>70000</v>
      </c>
      <c r="T97" s="89">
        <f>H97*K97*N97*Q97*S97</f>
        <v>1960000</v>
      </c>
      <c r="U97" s="87"/>
      <c r="V97" s="90"/>
      <c r="W97" s="58"/>
    </row>
    <row r="98" spans="1:23" s="59" customFormat="1" ht="29" customHeight="1" x14ac:dyDescent="0.2">
      <c r="A98" s="54"/>
      <c r="B98" s="55"/>
      <c r="C98" s="84"/>
      <c r="D98" s="87"/>
      <c r="E98" s="91"/>
      <c r="F98" s="86" t="s">
        <v>67</v>
      </c>
      <c r="G98" s="34" t="s">
        <v>19</v>
      </c>
      <c r="H98" s="87">
        <v>2</v>
      </c>
      <c r="I98" s="87" t="s">
        <v>20</v>
      </c>
      <c r="J98" s="87" t="s">
        <v>21</v>
      </c>
      <c r="K98" s="87">
        <v>1</v>
      </c>
      <c r="L98" s="87" t="s">
        <v>22</v>
      </c>
      <c r="M98" s="87" t="s">
        <v>21</v>
      </c>
      <c r="N98" s="87">
        <v>2</v>
      </c>
      <c r="O98" s="87" t="s">
        <v>23</v>
      </c>
      <c r="P98" s="87" t="s">
        <v>21</v>
      </c>
      <c r="Q98" s="87">
        <v>7</v>
      </c>
      <c r="R98" s="87" t="s">
        <v>31</v>
      </c>
      <c r="S98" s="88">
        <v>70000</v>
      </c>
      <c r="T98" s="89">
        <f>H98*K98*N98*Q98*S98</f>
        <v>1960000</v>
      </c>
      <c r="U98" s="87"/>
      <c r="W98" s="58"/>
    </row>
    <row r="99" spans="1:23" s="59" customFormat="1" ht="29" customHeight="1" x14ac:dyDescent="0.2">
      <c r="A99" s="54"/>
      <c r="B99" s="55"/>
      <c r="C99" s="84"/>
      <c r="D99" s="87"/>
      <c r="E99" s="91"/>
      <c r="F99" s="86" t="s">
        <v>68</v>
      </c>
      <c r="G99" s="34" t="s">
        <v>19</v>
      </c>
      <c r="H99" s="87">
        <v>2</v>
      </c>
      <c r="I99" s="87" t="s">
        <v>20</v>
      </c>
      <c r="J99" s="87" t="s">
        <v>21</v>
      </c>
      <c r="K99" s="87">
        <v>1</v>
      </c>
      <c r="L99" s="87" t="s">
        <v>22</v>
      </c>
      <c r="M99" s="87" t="s">
        <v>21</v>
      </c>
      <c r="N99" s="87">
        <v>2</v>
      </c>
      <c r="O99" s="87" t="s">
        <v>23</v>
      </c>
      <c r="P99" s="87" t="s">
        <v>21</v>
      </c>
      <c r="Q99" s="87">
        <v>7</v>
      </c>
      <c r="R99" s="87" t="s">
        <v>31</v>
      </c>
      <c r="S99" s="88">
        <v>150000</v>
      </c>
      <c r="T99" s="89">
        <f>H99*K99*N99*Q99*S99</f>
        <v>4200000</v>
      </c>
      <c r="U99" s="87"/>
      <c r="W99" s="58"/>
    </row>
    <row r="100" spans="1:23" s="59" customFormat="1" ht="35" customHeight="1" x14ac:dyDescent="0.2">
      <c r="A100" s="54"/>
      <c r="B100" s="55"/>
      <c r="C100" s="187" t="s">
        <v>78</v>
      </c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56">
        <f>SUM(T101:T103)</f>
        <v>13920000</v>
      </c>
      <c r="V100" s="57"/>
      <c r="W100" s="58"/>
    </row>
    <row r="101" spans="1:23" s="59" customFormat="1" ht="30.75" customHeight="1" x14ac:dyDescent="0.2">
      <c r="A101" s="54"/>
      <c r="B101" s="55"/>
      <c r="C101" s="84"/>
      <c r="D101" s="40" t="s">
        <v>65</v>
      </c>
      <c r="E101" s="85" t="s">
        <v>39</v>
      </c>
      <c r="F101" s="86" t="s">
        <v>66</v>
      </c>
      <c r="G101" s="34" t="s">
        <v>19</v>
      </c>
      <c r="H101" s="87">
        <v>2</v>
      </c>
      <c r="I101" s="87" t="s">
        <v>20</v>
      </c>
      <c r="J101" s="87" t="s">
        <v>21</v>
      </c>
      <c r="K101" s="87">
        <v>1</v>
      </c>
      <c r="L101" s="87" t="s">
        <v>22</v>
      </c>
      <c r="M101" s="87" t="s">
        <v>21</v>
      </c>
      <c r="N101" s="87">
        <v>2</v>
      </c>
      <c r="O101" s="87" t="s">
        <v>23</v>
      </c>
      <c r="P101" s="87" t="s">
        <v>21</v>
      </c>
      <c r="Q101" s="87">
        <v>12</v>
      </c>
      <c r="R101" s="87" t="s">
        <v>31</v>
      </c>
      <c r="S101" s="88">
        <v>70000</v>
      </c>
      <c r="T101" s="89">
        <f>H101*K101*N101*Q101*S101</f>
        <v>3360000</v>
      </c>
      <c r="U101" s="87"/>
      <c r="V101" s="90"/>
      <c r="W101" s="58"/>
    </row>
    <row r="102" spans="1:23" s="59" customFormat="1" ht="29" customHeight="1" x14ac:dyDescent="0.2">
      <c r="A102" s="54"/>
      <c r="B102" s="55"/>
      <c r="C102" s="84"/>
      <c r="D102" s="87"/>
      <c r="E102" s="91"/>
      <c r="F102" s="86" t="s">
        <v>67</v>
      </c>
      <c r="G102" s="34" t="s">
        <v>19</v>
      </c>
      <c r="H102" s="87">
        <v>2</v>
      </c>
      <c r="I102" s="87" t="s">
        <v>20</v>
      </c>
      <c r="J102" s="87" t="s">
        <v>21</v>
      </c>
      <c r="K102" s="87">
        <v>1</v>
      </c>
      <c r="L102" s="87" t="s">
        <v>22</v>
      </c>
      <c r="M102" s="87" t="s">
        <v>21</v>
      </c>
      <c r="N102" s="87">
        <v>2</v>
      </c>
      <c r="O102" s="87" t="s">
        <v>23</v>
      </c>
      <c r="P102" s="87" t="s">
        <v>21</v>
      </c>
      <c r="Q102" s="87">
        <v>12</v>
      </c>
      <c r="R102" s="87" t="s">
        <v>31</v>
      </c>
      <c r="S102" s="88">
        <v>70000</v>
      </c>
      <c r="T102" s="89">
        <f>H102*K102*N102*Q102*S102</f>
        <v>3360000</v>
      </c>
      <c r="U102" s="87"/>
      <c r="W102" s="58"/>
    </row>
    <row r="103" spans="1:23" s="59" customFormat="1" ht="29" customHeight="1" x14ac:dyDescent="0.2">
      <c r="A103" s="54"/>
      <c r="B103" s="55"/>
      <c r="C103" s="84"/>
      <c r="D103" s="87"/>
      <c r="E103" s="91"/>
      <c r="F103" s="86" t="s">
        <v>68</v>
      </c>
      <c r="G103" s="34" t="s">
        <v>19</v>
      </c>
      <c r="H103" s="87">
        <v>2</v>
      </c>
      <c r="I103" s="87" t="s">
        <v>20</v>
      </c>
      <c r="J103" s="87" t="s">
        <v>21</v>
      </c>
      <c r="K103" s="87">
        <v>1</v>
      </c>
      <c r="L103" s="87" t="s">
        <v>22</v>
      </c>
      <c r="M103" s="87" t="s">
        <v>21</v>
      </c>
      <c r="N103" s="87">
        <v>2</v>
      </c>
      <c r="O103" s="87" t="s">
        <v>23</v>
      </c>
      <c r="P103" s="87" t="s">
        <v>21</v>
      </c>
      <c r="Q103" s="87">
        <v>12</v>
      </c>
      <c r="R103" s="87" t="s">
        <v>31</v>
      </c>
      <c r="S103" s="88">
        <v>150000</v>
      </c>
      <c r="T103" s="89">
        <f>H103*K103*N103*Q103*S103</f>
        <v>7200000</v>
      </c>
      <c r="U103" s="87"/>
      <c r="W103" s="58"/>
    </row>
    <row r="104" spans="1:23" s="59" customFormat="1" ht="35" customHeight="1" x14ac:dyDescent="0.2">
      <c r="A104" s="54"/>
      <c r="B104" s="55"/>
      <c r="C104" s="187" t="s">
        <v>79</v>
      </c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56">
        <f>SUM(T105:T108)</f>
        <v>14145000</v>
      </c>
      <c r="V104" s="57"/>
      <c r="W104" s="58"/>
    </row>
    <row r="105" spans="1:23" s="59" customFormat="1" ht="30.75" customHeight="1" x14ac:dyDescent="0.2">
      <c r="A105" s="54"/>
      <c r="B105" s="55"/>
      <c r="C105" s="84"/>
      <c r="D105" s="40" t="s">
        <v>65</v>
      </c>
      <c r="E105" s="85" t="s">
        <v>39</v>
      </c>
      <c r="F105" s="86" t="s">
        <v>66</v>
      </c>
      <c r="G105" s="34" t="s">
        <v>19</v>
      </c>
      <c r="H105" s="87">
        <v>2</v>
      </c>
      <c r="I105" s="87" t="s">
        <v>20</v>
      </c>
      <c r="J105" s="87" t="s">
        <v>21</v>
      </c>
      <c r="K105" s="87">
        <v>1</v>
      </c>
      <c r="L105" s="87" t="s">
        <v>22</v>
      </c>
      <c r="M105" s="87" t="s">
        <v>21</v>
      </c>
      <c r="N105" s="87">
        <v>2</v>
      </c>
      <c r="O105" s="87" t="s">
        <v>23</v>
      </c>
      <c r="P105" s="87" t="s">
        <v>21</v>
      </c>
      <c r="Q105" s="87">
        <v>12</v>
      </c>
      <c r="R105" s="87" t="s">
        <v>31</v>
      </c>
      <c r="S105" s="88">
        <v>70000</v>
      </c>
      <c r="T105" s="89">
        <f>H105*K105*N105*Q105*S105</f>
        <v>3360000</v>
      </c>
      <c r="U105" s="87"/>
      <c r="V105" s="90"/>
      <c r="W105" s="58"/>
    </row>
    <row r="106" spans="1:23" s="59" customFormat="1" ht="29" customHeight="1" x14ac:dyDescent="0.2">
      <c r="A106" s="54"/>
      <c r="B106" s="55"/>
      <c r="C106" s="84"/>
      <c r="D106" s="87"/>
      <c r="E106" s="91"/>
      <c r="F106" s="86" t="s">
        <v>67</v>
      </c>
      <c r="G106" s="34" t="s">
        <v>19</v>
      </c>
      <c r="H106" s="87">
        <v>2</v>
      </c>
      <c r="I106" s="87" t="s">
        <v>20</v>
      </c>
      <c r="J106" s="87" t="s">
        <v>21</v>
      </c>
      <c r="K106" s="87">
        <v>1</v>
      </c>
      <c r="L106" s="87" t="s">
        <v>22</v>
      </c>
      <c r="M106" s="87" t="s">
        <v>21</v>
      </c>
      <c r="N106" s="87">
        <v>2</v>
      </c>
      <c r="O106" s="87" t="s">
        <v>23</v>
      </c>
      <c r="P106" s="87" t="s">
        <v>21</v>
      </c>
      <c r="Q106" s="87">
        <v>12</v>
      </c>
      <c r="R106" s="87" t="s">
        <v>31</v>
      </c>
      <c r="S106" s="88">
        <v>70000</v>
      </c>
      <c r="T106" s="89">
        <f>H106*K106*N106*Q106*S106</f>
        <v>3360000</v>
      </c>
      <c r="U106" s="87"/>
      <c r="W106" s="58"/>
    </row>
    <row r="107" spans="1:23" s="59" customFormat="1" ht="29" customHeight="1" x14ac:dyDescent="0.2">
      <c r="A107" s="54"/>
      <c r="B107" s="55"/>
      <c r="C107" s="84"/>
      <c r="D107" s="87"/>
      <c r="E107" s="91"/>
      <c r="F107" s="86" t="s">
        <v>68</v>
      </c>
      <c r="G107" s="34" t="s">
        <v>19</v>
      </c>
      <c r="H107" s="87">
        <v>2</v>
      </c>
      <c r="I107" s="87" t="s">
        <v>20</v>
      </c>
      <c r="J107" s="87" t="s">
        <v>21</v>
      </c>
      <c r="K107" s="87">
        <v>1</v>
      </c>
      <c r="L107" s="87" t="s">
        <v>22</v>
      </c>
      <c r="M107" s="87" t="s">
        <v>21</v>
      </c>
      <c r="N107" s="87">
        <v>2</v>
      </c>
      <c r="O107" s="87" t="s">
        <v>23</v>
      </c>
      <c r="P107" s="87" t="s">
        <v>21</v>
      </c>
      <c r="Q107" s="87">
        <v>12</v>
      </c>
      <c r="R107" s="87" t="s">
        <v>31</v>
      </c>
      <c r="S107" s="88">
        <v>150000</v>
      </c>
      <c r="T107" s="89">
        <f>H107*K107*N107*Q107*S107</f>
        <v>7200000</v>
      </c>
      <c r="U107" s="87"/>
      <c r="W107" s="58"/>
    </row>
    <row r="108" spans="1:23" s="53" customFormat="1" ht="21" customHeight="1" x14ac:dyDescent="0.2">
      <c r="A108" s="54"/>
      <c r="B108" s="55"/>
      <c r="C108" s="84"/>
      <c r="D108" s="87"/>
      <c r="E108" s="91"/>
      <c r="F108" s="86" t="s">
        <v>76</v>
      </c>
      <c r="G108" s="43"/>
      <c r="H108" s="87"/>
      <c r="I108" s="87"/>
      <c r="J108" s="87"/>
      <c r="K108" s="87">
        <v>5</v>
      </c>
      <c r="L108" s="87" t="s">
        <v>33</v>
      </c>
      <c r="M108" s="87" t="s">
        <v>21</v>
      </c>
      <c r="N108" s="87">
        <v>5</v>
      </c>
      <c r="O108" s="87" t="s">
        <v>23</v>
      </c>
      <c r="P108" s="87" t="s">
        <v>21</v>
      </c>
      <c r="Q108" s="87">
        <v>12</v>
      </c>
      <c r="R108" s="87" t="s">
        <v>35</v>
      </c>
      <c r="S108" s="88">
        <v>750</v>
      </c>
      <c r="T108" s="89">
        <f>K108*N108*Q108*S108</f>
        <v>225000</v>
      </c>
      <c r="U108" s="87"/>
      <c r="W108" s="52"/>
    </row>
    <row r="109" spans="1:23" s="59" customFormat="1" ht="21" customHeight="1" x14ac:dyDescent="0.2">
      <c r="A109" s="54"/>
      <c r="B109" s="55">
        <v>3</v>
      </c>
      <c r="C109" s="190" t="s">
        <v>80</v>
      </c>
      <c r="D109" s="190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83">
        <f>SUM(U110,U114)</f>
        <v>32000000</v>
      </c>
      <c r="V109" s="58"/>
      <c r="W109" s="58"/>
    </row>
    <row r="110" spans="1:23" s="59" customFormat="1" ht="35" customHeight="1" x14ac:dyDescent="0.2">
      <c r="A110" s="54"/>
      <c r="B110" s="55"/>
      <c r="C110" s="185" t="s">
        <v>81</v>
      </c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56">
        <f>SUM(T111:T113)</f>
        <v>16000000</v>
      </c>
      <c r="V110" s="57"/>
      <c r="W110" s="58"/>
    </row>
    <row r="111" spans="1:23" s="59" customFormat="1" ht="30.75" customHeight="1" x14ac:dyDescent="0.2">
      <c r="A111" s="54"/>
      <c r="B111" s="55"/>
      <c r="C111" s="84"/>
      <c r="D111" s="40" t="s">
        <v>65</v>
      </c>
      <c r="E111" s="85" t="s">
        <v>39</v>
      </c>
      <c r="F111" s="86" t="s">
        <v>66</v>
      </c>
      <c r="G111" s="34" t="s">
        <v>19</v>
      </c>
      <c r="H111" s="87">
        <v>2</v>
      </c>
      <c r="I111" s="87" t="s">
        <v>20</v>
      </c>
      <c r="J111" s="87" t="s">
        <v>21</v>
      </c>
      <c r="K111" s="87">
        <v>1</v>
      </c>
      <c r="L111" s="87" t="s">
        <v>22</v>
      </c>
      <c r="M111" s="87" t="s">
        <v>21</v>
      </c>
      <c r="N111" s="87">
        <v>2</v>
      </c>
      <c r="O111" s="87" t="s">
        <v>23</v>
      </c>
      <c r="P111" s="87" t="s">
        <v>21</v>
      </c>
      <c r="Q111" s="87">
        <v>10</v>
      </c>
      <c r="R111" s="87" t="s">
        <v>31</v>
      </c>
      <c r="S111" s="88">
        <v>70000</v>
      </c>
      <c r="T111" s="89">
        <f>H111*K111*N111*Q111*S111</f>
        <v>2800000</v>
      </c>
      <c r="U111" s="87"/>
      <c r="V111" s="90"/>
      <c r="W111" s="58"/>
    </row>
    <row r="112" spans="1:23" s="59" customFormat="1" ht="29" customHeight="1" x14ac:dyDescent="0.2">
      <c r="A112" s="54"/>
      <c r="B112" s="55"/>
      <c r="C112" s="84"/>
      <c r="D112" s="87"/>
      <c r="E112" s="91"/>
      <c r="F112" s="86" t="s">
        <v>67</v>
      </c>
      <c r="G112" s="34" t="s">
        <v>19</v>
      </c>
      <c r="H112" s="87">
        <v>2</v>
      </c>
      <c r="I112" s="87" t="s">
        <v>20</v>
      </c>
      <c r="J112" s="87" t="s">
        <v>21</v>
      </c>
      <c r="K112" s="87">
        <v>1</v>
      </c>
      <c r="L112" s="87" t="s">
        <v>22</v>
      </c>
      <c r="M112" s="87" t="s">
        <v>21</v>
      </c>
      <c r="N112" s="87">
        <v>3</v>
      </c>
      <c r="O112" s="87" t="s">
        <v>23</v>
      </c>
      <c r="P112" s="87" t="s">
        <v>21</v>
      </c>
      <c r="Q112" s="87">
        <v>10</v>
      </c>
      <c r="R112" s="87" t="s">
        <v>31</v>
      </c>
      <c r="S112" s="88">
        <v>70000</v>
      </c>
      <c r="T112" s="89">
        <f>H112*K112*N112*Q112*S112</f>
        <v>4200000</v>
      </c>
      <c r="U112" s="87"/>
      <c r="W112" s="58"/>
    </row>
    <row r="113" spans="1:23" s="59" customFormat="1" ht="29" customHeight="1" x14ac:dyDescent="0.2">
      <c r="A113" s="54"/>
      <c r="B113" s="55"/>
      <c r="C113" s="84"/>
      <c r="D113" s="87"/>
      <c r="E113" s="91"/>
      <c r="F113" s="86" t="s">
        <v>68</v>
      </c>
      <c r="G113" s="34" t="s">
        <v>19</v>
      </c>
      <c r="H113" s="87">
        <v>2</v>
      </c>
      <c r="I113" s="87" t="s">
        <v>20</v>
      </c>
      <c r="J113" s="87" t="s">
        <v>21</v>
      </c>
      <c r="K113" s="87">
        <v>1</v>
      </c>
      <c r="L113" s="87" t="s">
        <v>22</v>
      </c>
      <c r="M113" s="87" t="s">
        <v>21</v>
      </c>
      <c r="N113" s="87">
        <v>3</v>
      </c>
      <c r="O113" s="87" t="s">
        <v>23</v>
      </c>
      <c r="P113" s="87" t="s">
        <v>21</v>
      </c>
      <c r="Q113" s="87">
        <v>10</v>
      </c>
      <c r="R113" s="87" t="s">
        <v>31</v>
      </c>
      <c r="S113" s="88">
        <v>150000</v>
      </c>
      <c r="T113" s="89">
        <f>H113*K113*N113*Q113*S113</f>
        <v>9000000</v>
      </c>
      <c r="U113" s="87"/>
      <c r="W113" s="58"/>
    </row>
    <row r="114" spans="1:23" s="59" customFormat="1" ht="35" customHeight="1" x14ac:dyDescent="0.2">
      <c r="A114" s="54"/>
      <c r="B114" s="55"/>
      <c r="C114" s="185" t="s">
        <v>82</v>
      </c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56">
        <f>SUM(T115:T117)</f>
        <v>16000000</v>
      </c>
      <c r="V114" s="57"/>
      <c r="W114" s="58"/>
    </row>
    <row r="115" spans="1:23" s="59" customFormat="1" ht="30.75" customHeight="1" x14ac:dyDescent="0.2">
      <c r="A115" s="54"/>
      <c r="B115" s="55"/>
      <c r="C115" s="84"/>
      <c r="D115" s="40" t="s">
        <v>65</v>
      </c>
      <c r="E115" s="85" t="s">
        <v>39</v>
      </c>
      <c r="F115" s="86" t="s">
        <v>66</v>
      </c>
      <c r="G115" s="34" t="s">
        <v>19</v>
      </c>
      <c r="H115" s="87">
        <v>2</v>
      </c>
      <c r="I115" s="87" t="s">
        <v>20</v>
      </c>
      <c r="J115" s="87" t="s">
        <v>21</v>
      </c>
      <c r="K115" s="87">
        <v>1</v>
      </c>
      <c r="L115" s="87" t="s">
        <v>22</v>
      </c>
      <c r="M115" s="87" t="s">
        <v>21</v>
      </c>
      <c r="N115" s="87">
        <v>2</v>
      </c>
      <c r="O115" s="87" t="s">
        <v>23</v>
      </c>
      <c r="P115" s="87" t="s">
        <v>21</v>
      </c>
      <c r="Q115" s="87">
        <v>10</v>
      </c>
      <c r="R115" s="87" t="s">
        <v>31</v>
      </c>
      <c r="S115" s="88">
        <v>70000</v>
      </c>
      <c r="T115" s="89">
        <f>H115*K115*N115*Q115*S115</f>
        <v>2800000</v>
      </c>
      <c r="U115" s="87"/>
      <c r="V115" s="90"/>
      <c r="W115" s="58"/>
    </row>
    <row r="116" spans="1:23" s="59" customFormat="1" ht="29" customHeight="1" x14ac:dyDescent="0.2">
      <c r="A116" s="54"/>
      <c r="B116" s="55"/>
      <c r="C116" s="84"/>
      <c r="D116" s="87"/>
      <c r="E116" s="91"/>
      <c r="F116" s="86" t="s">
        <v>67</v>
      </c>
      <c r="G116" s="34" t="s">
        <v>19</v>
      </c>
      <c r="H116" s="87">
        <v>2</v>
      </c>
      <c r="I116" s="87" t="s">
        <v>20</v>
      </c>
      <c r="J116" s="87" t="s">
        <v>21</v>
      </c>
      <c r="K116" s="87">
        <v>1</v>
      </c>
      <c r="L116" s="87" t="s">
        <v>22</v>
      </c>
      <c r="M116" s="87" t="s">
        <v>21</v>
      </c>
      <c r="N116" s="87">
        <v>3</v>
      </c>
      <c r="O116" s="87" t="s">
        <v>23</v>
      </c>
      <c r="P116" s="87" t="s">
        <v>21</v>
      </c>
      <c r="Q116" s="87">
        <v>10</v>
      </c>
      <c r="R116" s="87" t="s">
        <v>31</v>
      </c>
      <c r="S116" s="88">
        <v>70000</v>
      </c>
      <c r="T116" s="89">
        <f>H116*K116*N116*Q116*S116</f>
        <v>4200000</v>
      </c>
      <c r="U116" s="87"/>
      <c r="W116" s="58"/>
    </row>
    <row r="117" spans="1:23" s="59" customFormat="1" ht="29" customHeight="1" x14ac:dyDescent="0.2">
      <c r="A117" s="54"/>
      <c r="B117" s="55"/>
      <c r="C117" s="84"/>
      <c r="D117" s="87"/>
      <c r="E117" s="91"/>
      <c r="F117" s="86" t="s">
        <v>68</v>
      </c>
      <c r="G117" s="34" t="s">
        <v>19</v>
      </c>
      <c r="H117" s="87">
        <v>2</v>
      </c>
      <c r="I117" s="87" t="s">
        <v>20</v>
      </c>
      <c r="J117" s="87" t="s">
        <v>21</v>
      </c>
      <c r="K117" s="87">
        <v>1</v>
      </c>
      <c r="L117" s="87" t="s">
        <v>22</v>
      </c>
      <c r="M117" s="87" t="s">
        <v>21</v>
      </c>
      <c r="N117" s="87">
        <v>3</v>
      </c>
      <c r="O117" s="87" t="s">
        <v>23</v>
      </c>
      <c r="P117" s="87" t="s">
        <v>21</v>
      </c>
      <c r="Q117" s="87">
        <v>10</v>
      </c>
      <c r="R117" s="87" t="s">
        <v>31</v>
      </c>
      <c r="S117" s="88">
        <v>150000</v>
      </c>
      <c r="T117" s="89">
        <f>H117*K117*N117*Q117*S117</f>
        <v>9000000</v>
      </c>
      <c r="U117" s="87"/>
      <c r="W117" s="58"/>
    </row>
    <row r="118" spans="1:23" s="59" customFormat="1" ht="38.5" customHeight="1" x14ac:dyDescent="0.2">
      <c r="A118" s="54"/>
      <c r="B118" s="55">
        <v>4</v>
      </c>
      <c r="C118" s="189" t="s">
        <v>83</v>
      </c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92">
        <f>SUM(U119,U124,U129,U134)</f>
        <v>69840000</v>
      </c>
      <c r="W118" s="58"/>
    </row>
    <row r="119" spans="1:23" s="59" customFormat="1" ht="35" customHeight="1" x14ac:dyDescent="0.2">
      <c r="A119" s="54"/>
      <c r="B119" s="55"/>
      <c r="C119" s="185" t="s">
        <v>84</v>
      </c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56">
        <f>SUM(T120:T123)</f>
        <v>17460000</v>
      </c>
      <c r="V119" s="57"/>
      <c r="W119" s="58"/>
    </row>
    <row r="120" spans="1:23" s="59" customFormat="1" ht="30.75" customHeight="1" x14ac:dyDescent="0.2">
      <c r="A120" s="54"/>
      <c r="B120" s="55"/>
      <c r="C120" s="84"/>
      <c r="D120" s="40" t="s">
        <v>65</v>
      </c>
      <c r="E120" s="85" t="s">
        <v>39</v>
      </c>
      <c r="F120" s="86" t="s">
        <v>66</v>
      </c>
      <c r="G120" s="34" t="s">
        <v>19</v>
      </c>
      <c r="H120" s="87">
        <v>2</v>
      </c>
      <c r="I120" s="87" t="s">
        <v>20</v>
      </c>
      <c r="J120" s="87" t="s">
        <v>21</v>
      </c>
      <c r="K120" s="87">
        <v>1</v>
      </c>
      <c r="L120" s="87" t="s">
        <v>22</v>
      </c>
      <c r="M120" s="87" t="s">
        <v>21</v>
      </c>
      <c r="N120" s="87">
        <v>2</v>
      </c>
      <c r="O120" s="87" t="s">
        <v>23</v>
      </c>
      <c r="P120" s="87" t="s">
        <v>21</v>
      </c>
      <c r="Q120" s="87">
        <v>6</v>
      </c>
      <c r="R120" s="87" t="s">
        <v>31</v>
      </c>
      <c r="S120" s="88">
        <v>70000</v>
      </c>
      <c r="T120" s="89">
        <f>H120*K120*N120*Q120*S120</f>
        <v>1680000</v>
      </c>
      <c r="U120" s="87"/>
      <c r="V120" s="90"/>
      <c r="W120" s="58"/>
    </row>
    <row r="121" spans="1:23" s="59" customFormat="1" ht="29" customHeight="1" x14ac:dyDescent="0.2">
      <c r="A121" s="54"/>
      <c r="B121" s="55"/>
      <c r="C121" s="84"/>
      <c r="D121" s="87"/>
      <c r="E121" s="91"/>
      <c r="F121" s="86" t="s">
        <v>67</v>
      </c>
      <c r="G121" s="34" t="s">
        <v>19</v>
      </c>
      <c r="H121" s="87">
        <v>2</v>
      </c>
      <c r="I121" s="87" t="s">
        <v>20</v>
      </c>
      <c r="J121" s="87" t="s">
        <v>21</v>
      </c>
      <c r="K121" s="87">
        <v>1</v>
      </c>
      <c r="L121" s="87" t="s">
        <v>22</v>
      </c>
      <c r="M121" s="87" t="s">
        <v>21</v>
      </c>
      <c r="N121" s="87">
        <v>2</v>
      </c>
      <c r="O121" s="87" t="s">
        <v>23</v>
      </c>
      <c r="P121" s="87" t="s">
        <v>21</v>
      </c>
      <c r="Q121" s="87">
        <v>6</v>
      </c>
      <c r="R121" s="87" t="s">
        <v>31</v>
      </c>
      <c r="S121" s="88">
        <v>70000</v>
      </c>
      <c r="T121" s="89">
        <f>H121*K121*N121*Q121*S121</f>
        <v>1680000</v>
      </c>
      <c r="U121" s="87"/>
      <c r="W121" s="58"/>
    </row>
    <row r="122" spans="1:23" s="59" customFormat="1" ht="29" customHeight="1" x14ac:dyDescent="0.2">
      <c r="A122" s="54"/>
      <c r="B122" s="55"/>
      <c r="C122" s="84"/>
      <c r="D122" s="87"/>
      <c r="E122" s="91"/>
      <c r="F122" s="86" t="s">
        <v>68</v>
      </c>
      <c r="G122" s="34" t="s">
        <v>19</v>
      </c>
      <c r="H122" s="87">
        <v>2</v>
      </c>
      <c r="I122" s="87" t="s">
        <v>20</v>
      </c>
      <c r="J122" s="87" t="s">
        <v>21</v>
      </c>
      <c r="K122" s="87">
        <v>1</v>
      </c>
      <c r="L122" s="87" t="s">
        <v>22</v>
      </c>
      <c r="M122" s="87" t="s">
        <v>21</v>
      </c>
      <c r="N122" s="87">
        <v>2</v>
      </c>
      <c r="O122" s="87" t="s">
        <v>23</v>
      </c>
      <c r="P122" s="87" t="s">
        <v>21</v>
      </c>
      <c r="Q122" s="87">
        <v>6</v>
      </c>
      <c r="R122" s="87" t="s">
        <v>31</v>
      </c>
      <c r="S122" s="88">
        <v>150000</v>
      </c>
      <c r="T122" s="89">
        <f>H122*K122*N122*Q122*S122</f>
        <v>3600000</v>
      </c>
      <c r="U122" s="87"/>
      <c r="W122" s="58"/>
    </row>
    <row r="123" spans="1:23" s="37" customFormat="1" ht="21" customHeight="1" x14ac:dyDescent="0.2">
      <c r="A123" s="93"/>
      <c r="B123" s="94"/>
      <c r="C123" s="95"/>
      <c r="D123" s="96"/>
      <c r="E123" s="95"/>
      <c r="F123" s="97" t="s">
        <v>85</v>
      </c>
      <c r="G123" s="34" t="s">
        <v>19</v>
      </c>
      <c r="H123" s="96">
        <v>7</v>
      </c>
      <c r="I123" s="96" t="s">
        <v>20</v>
      </c>
      <c r="J123" s="96" t="s">
        <v>21</v>
      </c>
      <c r="K123" s="96">
        <v>1</v>
      </c>
      <c r="L123" s="96" t="s">
        <v>22</v>
      </c>
      <c r="M123" s="96" t="s">
        <v>21</v>
      </c>
      <c r="N123" s="96">
        <v>5</v>
      </c>
      <c r="O123" s="96" t="s">
        <v>23</v>
      </c>
      <c r="P123" s="96" t="s">
        <v>21</v>
      </c>
      <c r="Q123" s="87">
        <v>6</v>
      </c>
      <c r="R123" s="96" t="s">
        <v>31</v>
      </c>
      <c r="S123" s="98">
        <v>50000</v>
      </c>
      <c r="T123" s="99">
        <f>H123*K123*N123*Q123*S123</f>
        <v>10500000</v>
      </c>
      <c r="U123" s="100"/>
      <c r="W123" s="36"/>
    </row>
    <row r="124" spans="1:23" s="59" customFormat="1" ht="35" customHeight="1" x14ac:dyDescent="0.2">
      <c r="A124" s="54"/>
      <c r="B124" s="55"/>
      <c r="C124" s="185" t="s">
        <v>86</v>
      </c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56">
        <f>SUM(T125:T128)</f>
        <v>17460000</v>
      </c>
      <c r="V124" s="57"/>
      <c r="W124" s="58"/>
    </row>
    <row r="125" spans="1:23" s="59" customFormat="1" ht="30.75" customHeight="1" x14ac:dyDescent="0.2">
      <c r="A125" s="54"/>
      <c r="B125" s="55"/>
      <c r="C125" s="84"/>
      <c r="D125" s="40" t="s">
        <v>65</v>
      </c>
      <c r="E125" s="85" t="s">
        <v>39</v>
      </c>
      <c r="F125" s="86" t="s">
        <v>66</v>
      </c>
      <c r="G125" s="34" t="s">
        <v>19</v>
      </c>
      <c r="H125" s="87">
        <v>2</v>
      </c>
      <c r="I125" s="87" t="s">
        <v>20</v>
      </c>
      <c r="J125" s="87" t="s">
        <v>21</v>
      </c>
      <c r="K125" s="87">
        <v>1</v>
      </c>
      <c r="L125" s="87" t="s">
        <v>22</v>
      </c>
      <c r="M125" s="87" t="s">
        <v>21</v>
      </c>
      <c r="N125" s="87">
        <v>2</v>
      </c>
      <c r="O125" s="87" t="s">
        <v>23</v>
      </c>
      <c r="P125" s="87" t="s">
        <v>21</v>
      </c>
      <c r="Q125" s="87">
        <v>6</v>
      </c>
      <c r="R125" s="87" t="s">
        <v>31</v>
      </c>
      <c r="S125" s="88">
        <v>70000</v>
      </c>
      <c r="T125" s="89">
        <f>H125*K125*N125*Q125*S125</f>
        <v>1680000</v>
      </c>
      <c r="U125" s="87"/>
      <c r="V125" s="90"/>
      <c r="W125" s="58"/>
    </row>
    <row r="126" spans="1:23" s="59" customFormat="1" ht="29" customHeight="1" x14ac:dyDescent="0.2">
      <c r="A126" s="54"/>
      <c r="B126" s="55"/>
      <c r="C126" s="84"/>
      <c r="D126" s="87"/>
      <c r="E126" s="91"/>
      <c r="F126" s="86" t="s">
        <v>67</v>
      </c>
      <c r="G126" s="34" t="s">
        <v>19</v>
      </c>
      <c r="H126" s="87">
        <v>2</v>
      </c>
      <c r="I126" s="87" t="s">
        <v>20</v>
      </c>
      <c r="J126" s="87" t="s">
        <v>21</v>
      </c>
      <c r="K126" s="87">
        <v>1</v>
      </c>
      <c r="L126" s="87" t="s">
        <v>22</v>
      </c>
      <c r="M126" s="87" t="s">
        <v>21</v>
      </c>
      <c r="N126" s="87">
        <v>2</v>
      </c>
      <c r="O126" s="87" t="s">
        <v>23</v>
      </c>
      <c r="P126" s="87" t="s">
        <v>21</v>
      </c>
      <c r="Q126" s="87">
        <v>6</v>
      </c>
      <c r="R126" s="87" t="s">
        <v>31</v>
      </c>
      <c r="S126" s="88">
        <v>70000</v>
      </c>
      <c r="T126" s="89">
        <f>H126*K126*N126*Q126*S126</f>
        <v>1680000</v>
      </c>
      <c r="U126" s="87"/>
      <c r="W126" s="58"/>
    </row>
    <row r="127" spans="1:23" s="59" customFormat="1" ht="29" customHeight="1" x14ac:dyDescent="0.2">
      <c r="A127" s="54"/>
      <c r="B127" s="55"/>
      <c r="C127" s="84"/>
      <c r="D127" s="87"/>
      <c r="E127" s="91"/>
      <c r="F127" s="86" t="s">
        <v>68</v>
      </c>
      <c r="G127" s="34" t="s">
        <v>19</v>
      </c>
      <c r="H127" s="87">
        <v>2</v>
      </c>
      <c r="I127" s="87" t="s">
        <v>20</v>
      </c>
      <c r="J127" s="87" t="s">
        <v>21</v>
      </c>
      <c r="K127" s="87">
        <v>1</v>
      </c>
      <c r="L127" s="87" t="s">
        <v>22</v>
      </c>
      <c r="M127" s="87" t="s">
        <v>21</v>
      </c>
      <c r="N127" s="87">
        <v>2</v>
      </c>
      <c r="O127" s="87" t="s">
        <v>23</v>
      </c>
      <c r="P127" s="87" t="s">
        <v>21</v>
      </c>
      <c r="Q127" s="87">
        <v>6</v>
      </c>
      <c r="R127" s="87" t="s">
        <v>31</v>
      </c>
      <c r="S127" s="88">
        <v>150000</v>
      </c>
      <c r="T127" s="89">
        <f>H127*K127*N127*Q127*S127</f>
        <v>3600000</v>
      </c>
      <c r="U127" s="87"/>
      <c r="W127" s="58"/>
    </row>
    <row r="128" spans="1:23" s="37" customFormat="1" ht="21" customHeight="1" x14ac:dyDescent="0.2">
      <c r="A128" s="93"/>
      <c r="B128" s="94"/>
      <c r="C128" s="95"/>
      <c r="D128" s="96"/>
      <c r="E128" s="95"/>
      <c r="F128" s="97" t="s">
        <v>85</v>
      </c>
      <c r="G128" s="34" t="s">
        <v>19</v>
      </c>
      <c r="H128" s="96">
        <v>7</v>
      </c>
      <c r="I128" s="96" t="s">
        <v>20</v>
      </c>
      <c r="J128" s="96" t="s">
        <v>21</v>
      </c>
      <c r="K128" s="96">
        <v>1</v>
      </c>
      <c r="L128" s="96" t="s">
        <v>22</v>
      </c>
      <c r="M128" s="96" t="s">
        <v>21</v>
      </c>
      <c r="N128" s="96">
        <v>5</v>
      </c>
      <c r="O128" s="96" t="s">
        <v>23</v>
      </c>
      <c r="P128" s="96" t="s">
        <v>21</v>
      </c>
      <c r="Q128" s="87">
        <v>6</v>
      </c>
      <c r="R128" s="96" t="s">
        <v>31</v>
      </c>
      <c r="S128" s="98">
        <v>50000</v>
      </c>
      <c r="T128" s="99">
        <f>H128*K128*N128*Q128*S128</f>
        <v>10500000</v>
      </c>
      <c r="U128" s="100"/>
      <c r="W128" s="36"/>
    </row>
    <row r="129" spans="1:23" s="59" customFormat="1" ht="35" customHeight="1" x14ac:dyDescent="0.2">
      <c r="A129" s="54"/>
      <c r="B129" s="55"/>
      <c r="C129" s="185" t="s">
        <v>87</v>
      </c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56">
        <f>SUM(T130:T133)</f>
        <v>17460000</v>
      </c>
      <c r="V129" s="57"/>
      <c r="W129" s="58"/>
    </row>
    <row r="130" spans="1:23" s="59" customFormat="1" ht="30.75" customHeight="1" x14ac:dyDescent="0.2">
      <c r="A130" s="54"/>
      <c r="B130" s="55"/>
      <c r="C130" s="84"/>
      <c r="D130" s="40" t="s">
        <v>65</v>
      </c>
      <c r="E130" s="85" t="s">
        <v>39</v>
      </c>
      <c r="F130" s="86" t="s">
        <v>66</v>
      </c>
      <c r="G130" s="34" t="s">
        <v>19</v>
      </c>
      <c r="H130" s="87">
        <v>2</v>
      </c>
      <c r="I130" s="87" t="s">
        <v>20</v>
      </c>
      <c r="J130" s="87" t="s">
        <v>21</v>
      </c>
      <c r="K130" s="87">
        <v>1</v>
      </c>
      <c r="L130" s="87" t="s">
        <v>22</v>
      </c>
      <c r="M130" s="87" t="s">
        <v>21</v>
      </c>
      <c r="N130" s="87">
        <v>2</v>
      </c>
      <c r="O130" s="87" t="s">
        <v>23</v>
      </c>
      <c r="P130" s="87" t="s">
        <v>21</v>
      </c>
      <c r="Q130" s="87">
        <v>6</v>
      </c>
      <c r="R130" s="87" t="s">
        <v>31</v>
      </c>
      <c r="S130" s="88">
        <v>70000</v>
      </c>
      <c r="T130" s="89">
        <f>H130*K130*N130*Q130*S130</f>
        <v>1680000</v>
      </c>
      <c r="U130" s="87"/>
      <c r="V130" s="90"/>
      <c r="W130" s="58"/>
    </row>
    <row r="131" spans="1:23" s="59" customFormat="1" ht="29" customHeight="1" x14ac:dyDescent="0.2">
      <c r="A131" s="54"/>
      <c r="B131" s="55"/>
      <c r="C131" s="84"/>
      <c r="D131" s="87"/>
      <c r="E131" s="91"/>
      <c r="F131" s="86" t="s">
        <v>67</v>
      </c>
      <c r="G131" s="34" t="s">
        <v>19</v>
      </c>
      <c r="H131" s="87">
        <v>2</v>
      </c>
      <c r="I131" s="87" t="s">
        <v>20</v>
      </c>
      <c r="J131" s="87" t="s">
        <v>21</v>
      </c>
      <c r="K131" s="87">
        <v>1</v>
      </c>
      <c r="L131" s="87" t="s">
        <v>22</v>
      </c>
      <c r="M131" s="87" t="s">
        <v>21</v>
      </c>
      <c r="N131" s="87">
        <v>2</v>
      </c>
      <c r="O131" s="87" t="s">
        <v>23</v>
      </c>
      <c r="P131" s="87" t="s">
        <v>21</v>
      </c>
      <c r="Q131" s="87">
        <v>6</v>
      </c>
      <c r="R131" s="87" t="s">
        <v>31</v>
      </c>
      <c r="S131" s="88">
        <v>70000</v>
      </c>
      <c r="T131" s="89">
        <f>H131*K131*N131*Q131*S131</f>
        <v>1680000</v>
      </c>
      <c r="U131" s="87"/>
      <c r="W131" s="58"/>
    </row>
    <row r="132" spans="1:23" s="59" customFormat="1" ht="29" customHeight="1" x14ac:dyDescent="0.2">
      <c r="A132" s="54"/>
      <c r="B132" s="55"/>
      <c r="C132" s="84"/>
      <c r="D132" s="87"/>
      <c r="E132" s="91"/>
      <c r="F132" s="86" t="s">
        <v>68</v>
      </c>
      <c r="G132" s="34" t="s">
        <v>19</v>
      </c>
      <c r="H132" s="87">
        <v>2</v>
      </c>
      <c r="I132" s="87" t="s">
        <v>20</v>
      </c>
      <c r="J132" s="87" t="s">
        <v>21</v>
      </c>
      <c r="K132" s="87">
        <v>1</v>
      </c>
      <c r="L132" s="87" t="s">
        <v>22</v>
      </c>
      <c r="M132" s="87" t="s">
        <v>21</v>
      </c>
      <c r="N132" s="87">
        <v>2</v>
      </c>
      <c r="O132" s="87" t="s">
        <v>23</v>
      </c>
      <c r="P132" s="87" t="s">
        <v>21</v>
      </c>
      <c r="Q132" s="87">
        <v>6</v>
      </c>
      <c r="R132" s="87" t="s">
        <v>31</v>
      </c>
      <c r="S132" s="88">
        <v>150000</v>
      </c>
      <c r="T132" s="89">
        <f>H132*K132*N132*Q132*S132</f>
        <v>3600000</v>
      </c>
      <c r="U132" s="87"/>
      <c r="W132" s="58"/>
    </row>
    <row r="133" spans="1:23" s="37" customFormat="1" ht="21" customHeight="1" x14ac:dyDescent="0.2">
      <c r="A133" s="93"/>
      <c r="B133" s="94"/>
      <c r="C133" s="95"/>
      <c r="D133" s="96"/>
      <c r="E133" s="95"/>
      <c r="F133" s="97" t="s">
        <v>85</v>
      </c>
      <c r="G133" s="34" t="s">
        <v>19</v>
      </c>
      <c r="H133" s="96">
        <v>7</v>
      </c>
      <c r="I133" s="96" t="s">
        <v>20</v>
      </c>
      <c r="J133" s="96" t="s">
        <v>21</v>
      </c>
      <c r="K133" s="96">
        <v>1</v>
      </c>
      <c r="L133" s="96" t="s">
        <v>22</v>
      </c>
      <c r="M133" s="96" t="s">
        <v>21</v>
      </c>
      <c r="N133" s="96">
        <v>5</v>
      </c>
      <c r="O133" s="96" t="s">
        <v>23</v>
      </c>
      <c r="P133" s="96" t="s">
        <v>21</v>
      </c>
      <c r="Q133" s="87">
        <v>6</v>
      </c>
      <c r="R133" s="96" t="s">
        <v>31</v>
      </c>
      <c r="S133" s="98">
        <v>50000</v>
      </c>
      <c r="T133" s="99">
        <f>H133*K133*N133*Q133*S133</f>
        <v>10500000</v>
      </c>
      <c r="U133" s="100"/>
      <c r="W133" s="36"/>
    </row>
    <row r="134" spans="1:23" s="59" customFormat="1" ht="35" customHeight="1" x14ac:dyDescent="0.2">
      <c r="A134" s="54"/>
      <c r="B134" s="55"/>
      <c r="C134" s="185" t="s">
        <v>88</v>
      </c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56">
        <f>SUM(T135:T138)</f>
        <v>17460000</v>
      </c>
      <c r="V134" s="57"/>
      <c r="W134" s="58"/>
    </row>
    <row r="135" spans="1:23" s="59" customFormat="1" ht="30.75" customHeight="1" x14ac:dyDescent="0.2">
      <c r="A135" s="54"/>
      <c r="B135" s="55"/>
      <c r="C135" s="84"/>
      <c r="D135" s="40" t="s">
        <v>65</v>
      </c>
      <c r="E135" s="85" t="s">
        <v>39</v>
      </c>
      <c r="F135" s="86" t="s">
        <v>66</v>
      </c>
      <c r="G135" s="34" t="s">
        <v>19</v>
      </c>
      <c r="H135" s="87">
        <v>2</v>
      </c>
      <c r="I135" s="87" t="s">
        <v>20</v>
      </c>
      <c r="J135" s="87" t="s">
        <v>21</v>
      </c>
      <c r="K135" s="87">
        <v>1</v>
      </c>
      <c r="L135" s="87" t="s">
        <v>22</v>
      </c>
      <c r="M135" s="87" t="s">
        <v>21</v>
      </c>
      <c r="N135" s="87">
        <v>2</v>
      </c>
      <c r="O135" s="87" t="s">
        <v>23</v>
      </c>
      <c r="P135" s="87" t="s">
        <v>21</v>
      </c>
      <c r="Q135" s="87">
        <v>6</v>
      </c>
      <c r="R135" s="87" t="s">
        <v>31</v>
      </c>
      <c r="S135" s="88">
        <v>70000</v>
      </c>
      <c r="T135" s="89">
        <f>H135*K135*N135*Q135*S135</f>
        <v>1680000</v>
      </c>
      <c r="U135" s="87"/>
      <c r="V135" s="90"/>
      <c r="W135" s="58"/>
    </row>
    <row r="136" spans="1:23" s="59" customFormat="1" ht="29" customHeight="1" x14ac:dyDescent="0.2">
      <c r="A136" s="54"/>
      <c r="B136" s="55"/>
      <c r="C136" s="84"/>
      <c r="D136" s="87"/>
      <c r="E136" s="91"/>
      <c r="F136" s="86" t="s">
        <v>67</v>
      </c>
      <c r="G136" s="34" t="s">
        <v>19</v>
      </c>
      <c r="H136" s="87">
        <v>2</v>
      </c>
      <c r="I136" s="87" t="s">
        <v>20</v>
      </c>
      <c r="J136" s="87" t="s">
        <v>21</v>
      </c>
      <c r="K136" s="87">
        <v>1</v>
      </c>
      <c r="L136" s="87" t="s">
        <v>22</v>
      </c>
      <c r="M136" s="87" t="s">
        <v>21</v>
      </c>
      <c r="N136" s="87">
        <v>2</v>
      </c>
      <c r="O136" s="87" t="s">
        <v>23</v>
      </c>
      <c r="P136" s="87" t="s">
        <v>21</v>
      </c>
      <c r="Q136" s="87">
        <v>6</v>
      </c>
      <c r="R136" s="87" t="s">
        <v>31</v>
      </c>
      <c r="S136" s="88">
        <v>70000</v>
      </c>
      <c r="T136" s="89">
        <f>H136*K136*N136*Q136*S136</f>
        <v>1680000</v>
      </c>
      <c r="U136" s="87"/>
      <c r="W136" s="58"/>
    </row>
    <row r="137" spans="1:23" s="59" customFormat="1" ht="29" customHeight="1" x14ac:dyDescent="0.2">
      <c r="A137" s="54"/>
      <c r="B137" s="55"/>
      <c r="C137" s="84"/>
      <c r="D137" s="87"/>
      <c r="E137" s="91"/>
      <c r="F137" s="86" t="s">
        <v>68</v>
      </c>
      <c r="G137" s="34" t="s">
        <v>19</v>
      </c>
      <c r="H137" s="87">
        <v>2</v>
      </c>
      <c r="I137" s="87" t="s">
        <v>20</v>
      </c>
      <c r="J137" s="87" t="s">
        <v>21</v>
      </c>
      <c r="K137" s="87">
        <v>1</v>
      </c>
      <c r="L137" s="87" t="s">
        <v>22</v>
      </c>
      <c r="M137" s="87" t="s">
        <v>21</v>
      </c>
      <c r="N137" s="87">
        <v>2</v>
      </c>
      <c r="O137" s="87" t="s">
        <v>23</v>
      </c>
      <c r="P137" s="87" t="s">
        <v>21</v>
      </c>
      <c r="Q137" s="87">
        <v>6</v>
      </c>
      <c r="R137" s="87" t="s">
        <v>31</v>
      </c>
      <c r="S137" s="88">
        <v>150000</v>
      </c>
      <c r="T137" s="89">
        <f>H137*K137*N137*Q137*S137</f>
        <v>3600000</v>
      </c>
      <c r="U137" s="87"/>
      <c r="W137" s="58"/>
    </row>
    <row r="138" spans="1:23" s="37" customFormat="1" ht="21" customHeight="1" x14ac:dyDescent="0.2">
      <c r="A138" s="93"/>
      <c r="B138" s="94"/>
      <c r="C138" s="95"/>
      <c r="D138" s="96"/>
      <c r="E138" s="95"/>
      <c r="F138" s="97" t="s">
        <v>85</v>
      </c>
      <c r="G138" s="34" t="s">
        <v>19</v>
      </c>
      <c r="H138" s="96">
        <v>7</v>
      </c>
      <c r="I138" s="96" t="s">
        <v>20</v>
      </c>
      <c r="J138" s="96" t="s">
        <v>21</v>
      </c>
      <c r="K138" s="96">
        <v>1</v>
      </c>
      <c r="L138" s="96" t="s">
        <v>22</v>
      </c>
      <c r="M138" s="96" t="s">
        <v>21</v>
      </c>
      <c r="N138" s="96">
        <v>5</v>
      </c>
      <c r="O138" s="96" t="s">
        <v>23</v>
      </c>
      <c r="P138" s="96" t="s">
        <v>21</v>
      </c>
      <c r="Q138" s="87">
        <v>6</v>
      </c>
      <c r="R138" s="96" t="s">
        <v>31</v>
      </c>
      <c r="S138" s="98">
        <v>50000</v>
      </c>
      <c r="T138" s="99">
        <f>H138*K138*N138*Q138*S138</f>
        <v>10500000</v>
      </c>
      <c r="U138" s="100"/>
      <c r="W138" s="36"/>
    </row>
    <row r="139" spans="1:23" s="59" customFormat="1" ht="31.5" customHeight="1" x14ac:dyDescent="0.2">
      <c r="A139" s="54"/>
      <c r="B139" s="55">
        <v>5</v>
      </c>
      <c r="C139" s="101" t="s">
        <v>89</v>
      </c>
      <c r="D139" s="102"/>
      <c r="E139" s="101"/>
      <c r="F139" s="101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83">
        <f>SUM(U140,U145,U150,U155)</f>
        <v>42435000</v>
      </c>
      <c r="W139" s="58"/>
    </row>
    <row r="140" spans="1:23" s="59" customFormat="1" ht="35" customHeight="1" x14ac:dyDescent="0.2">
      <c r="A140" s="54"/>
      <c r="B140" s="55"/>
      <c r="C140" s="187" t="s">
        <v>90</v>
      </c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56">
        <f>SUM(T141:T144)</f>
        <v>14145000</v>
      </c>
      <c r="V140" s="57"/>
      <c r="W140" s="58"/>
    </row>
    <row r="141" spans="1:23" s="59" customFormat="1" ht="30.75" customHeight="1" x14ac:dyDescent="0.2">
      <c r="A141" s="54"/>
      <c r="B141" s="55"/>
      <c r="C141" s="84"/>
      <c r="D141" s="40" t="s">
        <v>65</v>
      </c>
      <c r="E141" s="85" t="s">
        <v>39</v>
      </c>
      <c r="F141" s="86" t="s">
        <v>66</v>
      </c>
      <c r="G141" s="34" t="s">
        <v>19</v>
      </c>
      <c r="H141" s="87">
        <v>2</v>
      </c>
      <c r="I141" s="87" t="s">
        <v>20</v>
      </c>
      <c r="J141" s="87" t="s">
        <v>21</v>
      </c>
      <c r="K141" s="87">
        <v>1</v>
      </c>
      <c r="L141" s="87" t="s">
        <v>22</v>
      </c>
      <c r="M141" s="87" t="s">
        <v>21</v>
      </c>
      <c r="N141" s="87">
        <v>2</v>
      </c>
      <c r="O141" s="87" t="s">
        <v>23</v>
      </c>
      <c r="P141" s="87" t="s">
        <v>21</v>
      </c>
      <c r="Q141" s="87">
        <v>12</v>
      </c>
      <c r="R141" s="87" t="s">
        <v>31</v>
      </c>
      <c r="S141" s="88">
        <v>70000</v>
      </c>
      <c r="T141" s="89">
        <f>H141*K141*N141*Q141*S141</f>
        <v>3360000</v>
      </c>
      <c r="U141" s="87"/>
      <c r="V141" s="90"/>
      <c r="W141" s="58"/>
    </row>
    <row r="142" spans="1:23" s="59" customFormat="1" ht="29" customHeight="1" x14ac:dyDescent="0.2">
      <c r="A142" s="54"/>
      <c r="B142" s="55"/>
      <c r="C142" s="84"/>
      <c r="D142" s="87"/>
      <c r="E142" s="91"/>
      <c r="F142" s="86" t="s">
        <v>67</v>
      </c>
      <c r="G142" s="34" t="s">
        <v>19</v>
      </c>
      <c r="H142" s="87">
        <v>2</v>
      </c>
      <c r="I142" s="87" t="s">
        <v>20</v>
      </c>
      <c r="J142" s="87" t="s">
        <v>21</v>
      </c>
      <c r="K142" s="87">
        <v>1</v>
      </c>
      <c r="L142" s="87" t="s">
        <v>22</v>
      </c>
      <c r="M142" s="87" t="s">
        <v>21</v>
      </c>
      <c r="N142" s="87">
        <v>2</v>
      </c>
      <c r="O142" s="87" t="s">
        <v>23</v>
      </c>
      <c r="P142" s="87" t="s">
        <v>21</v>
      </c>
      <c r="Q142" s="87">
        <v>12</v>
      </c>
      <c r="R142" s="87" t="s">
        <v>31</v>
      </c>
      <c r="S142" s="88">
        <v>70000</v>
      </c>
      <c r="T142" s="89">
        <f>H142*K142*N142*Q142*S142</f>
        <v>3360000</v>
      </c>
      <c r="U142" s="87"/>
      <c r="W142" s="58"/>
    </row>
    <row r="143" spans="1:23" s="59" customFormat="1" ht="29" customHeight="1" x14ac:dyDescent="0.2">
      <c r="A143" s="54"/>
      <c r="B143" s="55"/>
      <c r="C143" s="84"/>
      <c r="D143" s="87"/>
      <c r="E143" s="91"/>
      <c r="F143" s="86" t="s">
        <v>68</v>
      </c>
      <c r="G143" s="34" t="s">
        <v>19</v>
      </c>
      <c r="H143" s="87">
        <v>2</v>
      </c>
      <c r="I143" s="87" t="s">
        <v>20</v>
      </c>
      <c r="J143" s="87" t="s">
        <v>21</v>
      </c>
      <c r="K143" s="87">
        <v>1</v>
      </c>
      <c r="L143" s="87" t="s">
        <v>22</v>
      </c>
      <c r="M143" s="87" t="s">
        <v>21</v>
      </c>
      <c r="N143" s="87">
        <v>2</v>
      </c>
      <c r="O143" s="87" t="s">
        <v>23</v>
      </c>
      <c r="P143" s="87" t="s">
        <v>21</v>
      </c>
      <c r="Q143" s="87">
        <v>12</v>
      </c>
      <c r="R143" s="87" t="s">
        <v>31</v>
      </c>
      <c r="S143" s="88">
        <v>150000</v>
      </c>
      <c r="T143" s="89">
        <f>H143*K143*N143*Q143*S143</f>
        <v>7200000</v>
      </c>
      <c r="U143" s="87"/>
      <c r="W143" s="58"/>
    </row>
    <row r="144" spans="1:23" s="37" customFormat="1" ht="21" customHeight="1" x14ac:dyDescent="0.2">
      <c r="A144" s="93"/>
      <c r="B144" s="94"/>
      <c r="C144" s="103"/>
      <c r="D144" s="100"/>
      <c r="E144" s="104"/>
      <c r="F144" s="97" t="s">
        <v>76</v>
      </c>
      <c r="G144" s="34"/>
      <c r="H144" s="100"/>
      <c r="I144" s="100"/>
      <c r="J144" s="100"/>
      <c r="K144" s="100">
        <v>5</v>
      </c>
      <c r="L144" s="100" t="s">
        <v>33</v>
      </c>
      <c r="M144" s="100" t="s">
        <v>21</v>
      </c>
      <c r="N144" s="100">
        <v>5</v>
      </c>
      <c r="O144" s="100" t="s">
        <v>23</v>
      </c>
      <c r="P144" s="100" t="s">
        <v>21</v>
      </c>
      <c r="Q144" s="87">
        <v>12</v>
      </c>
      <c r="R144" s="100" t="s">
        <v>35</v>
      </c>
      <c r="S144" s="105">
        <v>750</v>
      </c>
      <c r="T144" s="106">
        <f>K144*N144*Q144*S144</f>
        <v>225000</v>
      </c>
      <c r="U144" s="100"/>
      <c r="W144" s="36"/>
    </row>
    <row r="145" spans="1:23" s="59" customFormat="1" ht="35" customHeight="1" x14ac:dyDescent="0.2">
      <c r="A145" s="54"/>
      <c r="B145" s="55"/>
      <c r="C145" s="187" t="s">
        <v>91</v>
      </c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56">
        <f>SUM(T146:T149)</f>
        <v>7072500</v>
      </c>
      <c r="V145" s="57"/>
      <c r="W145" s="58"/>
    </row>
    <row r="146" spans="1:23" s="59" customFormat="1" ht="30.75" customHeight="1" x14ac:dyDescent="0.2">
      <c r="A146" s="54"/>
      <c r="B146" s="55"/>
      <c r="C146" s="84"/>
      <c r="D146" s="40" t="s">
        <v>65</v>
      </c>
      <c r="E146" s="85" t="s">
        <v>39</v>
      </c>
      <c r="F146" s="86" t="s">
        <v>66</v>
      </c>
      <c r="G146" s="34" t="s">
        <v>19</v>
      </c>
      <c r="H146" s="87">
        <v>2</v>
      </c>
      <c r="I146" s="87" t="s">
        <v>20</v>
      </c>
      <c r="J146" s="87" t="s">
        <v>21</v>
      </c>
      <c r="K146" s="87">
        <v>1</v>
      </c>
      <c r="L146" s="87" t="s">
        <v>22</v>
      </c>
      <c r="M146" s="87" t="s">
        <v>21</v>
      </c>
      <c r="N146" s="87">
        <v>2</v>
      </c>
      <c r="O146" s="87" t="s">
        <v>23</v>
      </c>
      <c r="P146" s="87" t="s">
        <v>21</v>
      </c>
      <c r="Q146" s="87">
        <v>6</v>
      </c>
      <c r="R146" s="87" t="s">
        <v>31</v>
      </c>
      <c r="S146" s="88">
        <v>70000</v>
      </c>
      <c r="T146" s="89">
        <f>H146*K146*N146*Q146*S146</f>
        <v>1680000</v>
      </c>
      <c r="U146" s="87"/>
      <c r="V146" s="90"/>
      <c r="W146" s="58"/>
    </row>
    <row r="147" spans="1:23" s="59" customFormat="1" ht="29" customHeight="1" x14ac:dyDescent="0.2">
      <c r="A147" s="54"/>
      <c r="B147" s="55"/>
      <c r="C147" s="84"/>
      <c r="D147" s="87"/>
      <c r="E147" s="91"/>
      <c r="F147" s="86" t="s">
        <v>67</v>
      </c>
      <c r="G147" s="34" t="s">
        <v>19</v>
      </c>
      <c r="H147" s="87">
        <v>2</v>
      </c>
      <c r="I147" s="87" t="s">
        <v>20</v>
      </c>
      <c r="J147" s="87" t="s">
        <v>21</v>
      </c>
      <c r="K147" s="87">
        <v>1</v>
      </c>
      <c r="L147" s="87" t="s">
        <v>22</v>
      </c>
      <c r="M147" s="87" t="s">
        <v>21</v>
      </c>
      <c r="N147" s="87">
        <v>2</v>
      </c>
      <c r="O147" s="87" t="s">
        <v>23</v>
      </c>
      <c r="P147" s="87" t="s">
        <v>21</v>
      </c>
      <c r="Q147" s="87">
        <v>6</v>
      </c>
      <c r="R147" s="87" t="s">
        <v>31</v>
      </c>
      <c r="S147" s="88">
        <v>70000</v>
      </c>
      <c r="T147" s="89">
        <f>H147*K147*N147*Q147*S147</f>
        <v>1680000</v>
      </c>
      <c r="U147" s="87"/>
      <c r="W147" s="58"/>
    </row>
    <row r="148" spans="1:23" s="59" customFormat="1" ht="29" customHeight="1" x14ac:dyDescent="0.2">
      <c r="A148" s="54"/>
      <c r="B148" s="55"/>
      <c r="C148" s="84"/>
      <c r="D148" s="87"/>
      <c r="E148" s="91"/>
      <c r="F148" s="86" t="s">
        <v>68</v>
      </c>
      <c r="G148" s="34" t="s">
        <v>19</v>
      </c>
      <c r="H148" s="87">
        <v>2</v>
      </c>
      <c r="I148" s="87" t="s">
        <v>20</v>
      </c>
      <c r="J148" s="87" t="s">
        <v>21</v>
      </c>
      <c r="K148" s="87">
        <v>1</v>
      </c>
      <c r="L148" s="87" t="s">
        <v>22</v>
      </c>
      <c r="M148" s="87" t="s">
        <v>21</v>
      </c>
      <c r="N148" s="87">
        <v>2</v>
      </c>
      <c r="O148" s="87" t="s">
        <v>23</v>
      </c>
      <c r="P148" s="87" t="s">
        <v>21</v>
      </c>
      <c r="Q148" s="87">
        <v>6</v>
      </c>
      <c r="R148" s="87" t="s">
        <v>31</v>
      </c>
      <c r="S148" s="88">
        <v>150000</v>
      </c>
      <c r="T148" s="89">
        <f>H148*K148*N148*Q148*S148</f>
        <v>3600000</v>
      </c>
      <c r="U148" s="87"/>
      <c r="W148" s="58"/>
    </row>
    <row r="149" spans="1:23" s="37" customFormat="1" ht="21" customHeight="1" x14ac:dyDescent="0.2">
      <c r="A149" s="93"/>
      <c r="B149" s="94"/>
      <c r="C149" s="103"/>
      <c r="D149" s="100"/>
      <c r="E149" s="104"/>
      <c r="F149" s="97" t="s">
        <v>76</v>
      </c>
      <c r="G149" s="34"/>
      <c r="H149" s="100"/>
      <c r="I149" s="100"/>
      <c r="J149" s="100"/>
      <c r="K149" s="100">
        <v>5</v>
      </c>
      <c r="L149" s="100" t="s">
        <v>33</v>
      </c>
      <c r="M149" s="100" t="s">
        <v>21</v>
      </c>
      <c r="N149" s="100">
        <v>5</v>
      </c>
      <c r="O149" s="100" t="s">
        <v>23</v>
      </c>
      <c r="P149" s="100" t="s">
        <v>21</v>
      </c>
      <c r="Q149" s="87">
        <v>6</v>
      </c>
      <c r="R149" s="100" t="s">
        <v>35</v>
      </c>
      <c r="S149" s="105">
        <v>750</v>
      </c>
      <c r="T149" s="106">
        <f>K149*N149*Q149*S149</f>
        <v>112500</v>
      </c>
      <c r="U149" s="100"/>
      <c r="W149" s="36"/>
    </row>
    <row r="150" spans="1:23" s="59" customFormat="1" ht="35" customHeight="1" x14ac:dyDescent="0.2">
      <c r="A150" s="54"/>
      <c r="B150" s="55"/>
      <c r="C150" s="187" t="s">
        <v>92</v>
      </c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56">
        <f>SUM(T151:T154)</f>
        <v>7072500</v>
      </c>
      <c r="V150" s="57"/>
      <c r="W150" s="58"/>
    </row>
    <row r="151" spans="1:23" s="59" customFormat="1" ht="30.75" customHeight="1" x14ac:dyDescent="0.2">
      <c r="A151" s="54"/>
      <c r="B151" s="55"/>
      <c r="C151" s="84"/>
      <c r="D151" s="40" t="s">
        <v>65</v>
      </c>
      <c r="E151" s="85" t="s">
        <v>39</v>
      </c>
      <c r="F151" s="86" t="s">
        <v>66</v>
      </c>
      <c r="G151" s="34" t="s">
        <v>19</v>
      </c>
      <c r="H151" s="87">
        <v>2</v>
      </c>
      <c r="I151" s="87" t="s">
        <v>20</v>
      </c>
      <c r="J151" s="87" t="s">
        <v>21</v>
      </c>
      <c r="K151" s="87">
        <v>1</v>
      </c>
      <c r="L151" s="87" t="s">
        <v>22</v>
      </c>
      <c r="M151" s="87" t="s">
        <v>21</v>
      </c>
      <c r="N151" s="87">
        <v>2</v>
      </c>
      <c r="O151" s="87" t="s">
        <v>23</v>
      </c>
      <c r="P151" s="87" t="s">
        <v>21</v>
      </c>
      <c r="Q151" s="87">
        <v>6</v>
      </c>
      <c r="R151" s="87" t="s">
        <v>31</v>
      </c>
      <c r="S151" s="88">
        <v>70000</v>
      </c>
      <c r="T151" s="89">
        <f>H151*K151*N151*Q151*S151</f>
        <v>1680000</v>
      </c>
      <c r="U151" s="87"/>
      <c r="V151" s="90"/>
      <c r="W151" s="58"/>
    </row>
    <row r="152" spans="1:23" s="59" customFormat="1" ht="29" customHeight="1" x14ac:dyDescent="0.2">
      <c r="A152" s="54"/>
      <c r="B152" s="55"/>
      <c r="C152" s="84"/>
      <c r="D152" s="87"/>
      <c r="E152" s="91"/>
      <c r="F152" s="86" t="s">
        <v>67</v>
      </c>
      <c r="G152" s="34" t="s">
        <v>19</v>
      </c>
      <c r="H152" s="87">
        <v>2</v>
      </c>
      <c r="I152" s="87" t="s">
        <v>20</v>
      </c>
      <c r="J152" s="87" t="s">
        <v>21</v>
      </c>
      <c r="K152" s="87">
        <v>1</v>
      </c>
      <c r="L152" s="87" t="s">
        <v>22</v>
      </c>
      <c r="M152" s="87" t="s">
        <v>21</v>
      </c>
      <c r="N152" s="87">
        <v>2</v>
      </c>
      <c r="O152" s="87" t="s">
        <v>23</v>
      </c>
      <c r="P152" s="87" t="s">
        <v>21</v>
      </c>
      <c r="Q152" s="87">
        <v>6</v>
      </c>
      <c r="R152" s="87" t="s">
        <v>31</v>
      </c>
      <c r="S152" s="88">
        <v>70000</v>
      </c>
      <c r="T152" s="89">
        <f>H152*K152*N152*Q152*S152</f>
        <v>1680000</v>
      </c>
      <c r="U152" s="87"/>
      <c r="W152" s="58"/>
    </row>
    <row r="153" spans="1:23" s="59" customFormat="1" ht="29" customHeight="1" x14ac:dyDescent="0.2">
      <c r="A153" s="54"/>
      <c r="B153" s="55"/>
      <c r="C153" s="84"/>
      <c r="D153" s="87"/>
      <c r="E153" s="91"/>
      <c r="F153" s="86" t="s">
        <v>68</v>
      </c>
      <c r="G153" s="34" t="s">
        <v>19</v>
      </c>
      <c r="H153" s="87">
        <v>2</v>
      </c>
      <c r="I153" s="87" t="s">
        <v>20</v>
      </c>
      <c r="J153" s="87" t="s">
        <v>21</v>
      </c>
      <c r="K153" s="87">
        <v>1</v>
      </c>
      <c r="L153" s="87" t="s">
        <v>22</v>
      </c>
      <c r="M153" s="87" t="s">
        <v>21</v>
      </c>
      <c r="N153" s="87">
        <v>2</v>
      </c>
      <c r="O153" s="87" t="s">
        <v>23</v>
      </c>
      <c r="P153" s="87" t="s">
        <v>21</v>
      </c>
      <c r="Q153" s="87">
        <v>6</v>
      </c>
      <c r="R153" s="87" t="s">
        <v>31</v>
      </c>
      <c r="S153" s="88">
        <v>150000</v>
      </c>
      <c r="T153" s="89">
        <f>H153*K153*N153*Q153*S153</f>
        <v>3600000</v>
      </c>
      <c r="U153" s="87"/>
      <c r="W153" s="58"/>
    </row>
    <row r="154" spans="1:23" s="37" customFormat="1" ht="21" customHeight="1" x14ac:dyDescent="0.2">
      <c r="A154" s="93"/>
      <c r="B154" s="94"/>
      <c r="C154" s="103"/>
      <c r="D154" s="100"/>
      <c r="E154" s="104"/>
      <c r="F154" s="97" t="s">
        <v>76</v>
      </c>
      <c r="G154" s="34"/>
      <c r="H154" s="100"/>
      <c r="I154" s="100"/>
      <c r="J154" s="100"/>
      <c r="K154" s="100">
        <v>5</v>
      </c>
      <c r="L154" s="100" t="s">
        <v>33</v>
      </c>
      <c r="M154" s="100" t="s">
        <v>21</v>
      </c>
      <c r="N154" s="100">
        <v>5</v>
      </c>
      <c r="O154" s="100" t="s">
        <v>23</v>
      </c>
      <c r="P154" s="100" t="s">
        <v>21</v>
      </c>
      <c r="Q154" s="87">
        <v>6</v>
      </c>
      <c r="R154" s="100" t="s">
        <v>35</v>
      </c>
      <c r="S154" s="105">
        <v>750</v>
      </c>
      <c r="T154" s="106">
        <f>K154*N154*Q154*S154</f>
        <v>112500</v>
      </c>
      <c r="U154" s="100"/>
      <c r="W154" s="36"/>
    </row>
    <row r="155" spans="1:23" s="59" customFormat="1" ht="35" customHeight="1" x14ac:dyDescent="0.2">
      <c r="A155" s="54"/>
      <c r="B155" s="55"/>
      <c r="C155" s="187" t="s">
        <v>93</v>
      </c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56">
        <f>SUM(T156:T159)</f>
        <v>14145000</v>
      </c>
      <c r="V155" s="57"/>
      <c r="W155" s="58"/>
    </row>
    <row r="156" spans="1:23" s="59" customFormat="1" ht="30.75" customHeight="1" x14ac:dyDescent="0.2">
      <c r="A156" s="54"/>
      <c r="B156" s="55"/>
      <c r="C156" s="84"/>
      <c r="D156" s="40" t="s">
        <v>65</v>
      </c>
      <c r="E156" s="85" t="s">
        <v>39</v>
      </c>
      <c r="F156" s="86" t="s">
        <v>66</v>
      </c>
      <c r="G156" s="34" t="s">
        <v>19</v>
      </c>
      <c r="H156" s="87">
        <v>2</v>
      </c>
      <c r="I156" s="87" t="s">
        <v>20</v>
      </c>
      <c r="J156" s="87" t="s">
        <v>21</v>
      </c>
      <c r="K156" s="87">
        <v>1</v>
      </c>
      <c r="L156" s="87" t="s">
        <v>22</v>
      </c>
      <c r="M156" s="87" t="s">
        <v>21</v>
      </c>
      <c r="N156" s="87">
        <v>2</v>
      </c>
      <c r="O156" s="87" t="s">
        <v>23</v>
      </c>
      <c r="P156" s="87" t="s">
        <v>21</v>
      </c>
      <c r="Q156" s="87">
        <v>12</v>
      </c>
      <c r="R156" s="87" t="s">
        <v>31</v>
      </c>
      <c r="S156" s="88">
        <v>70000</v>
      </c>
      <c r="T156" s="89">
        <f>H156*K156*N156*Q156*S156</f>
        <v>3360000</v>
      </c>
      <c r="U156" s="87"/>
      <c r="V156" s="90"/>
      <c r="W156" s="58"/>
    </row>
    <row r="157" spans="1:23" s="59" customFormat="1" ht="29" customHeight="1" x14ac:dyDescent="0.2">
      <c r="A157" s="54"/>
      <c r="B157" s="55"/>
      <c r="C157" s="84"/>
      <c r="D157" s="87"/>
      <c r="E157" s="91"/>
      <c r="F157" s="86" t="s">
        <v>67</v>
      </c>
      <c r="G157" s="34" t="s">
        <v>19</v>
      </c>
      <c r="H157" s="87">
        <v>2</v>
      </c>
      <c r="I157" s="87" t="s">
        <v>20</v>
      </c>
      <c r="J157" s="87" t="s">
        <v>21</v>
      </c>
      <c r="K157" s="87">
        <v>1</v>
      </c>
      <c r="L157" s="87" t="s">
        <v>22</v>
      </c>
      <c r="M157" s="87" t="s">
        <v>21</v>
      </c>
      <c r="N157" s="87">
        <v>2</v>
      </c>
      <c r="O157" s="87" t="s">
        <v>23</v>
      </c>
      <c r="P157" s="87" t="s">
        <v>21</v>
      </c>
      <c r="Q157" s="87">
        <v>12</v>
      </c>
      <c r="R157" s="87" t="s">
        <v>31</v>
      </c>
      <c r="S157" s="88">
        <v>70000</v>
      </c>
      <c r="T157" s="89">
        <f>H157*K157*N157*Q157*S157</f>
        <v>3360000</v>
      </c>
      <c r="U157" s="87"/>
      <c r="W157" s="58"/>
    </row>
    <row r="158" spans="1:23" s="59" customFormat="1" ht="29" customHeight="1" x14ac:dyDescent="0.2">
      <c r="A158" s="54"/>
      <c r="B158" s="55"/>
      <c r="C158" s="84"/>
      <c r="D158" s="87"/>
      <c r="E158" s="91"/>
      <c r="F158" s="86" t="s">
        <v>68</v>
      </c>
      <c r="G158" s="34" t="s">
        <v>19</v>
      </c>
      <c r="H158" s="87">
        <v>2</v>
      </c>
      <c r="I158" s="87" t="s">
        <v>20</v>
      </c>
      <c r="J158" s="87" t="s">
        <v>21</v>
      </c>
      <c r="K158" s="87">
        <v>1</v>
      </c>
      <c r="L158" s="87" t="s">
        <v>22</v>
      </c>
      <c r="M158" s="87" t="s">
        <v>21</v>
      </c>
      <c r="N158" s="87">
        <v>2</v>
      </c>
      <c r="O158" s="87" t="s">
        <v>23</v>
      </c>
      <c r="P158" s="87" t="s">
        <v>21</v>
      </c>
      <c r="Q158" s="87">
        <v>12</v>
      </c>
      <c r="R158" s="87" t="s">
        <v>31</v>
      </c>
      <c r="S158" s="88">
        <v>150000</v>
      </c>
      <c r="T158" s="89">
        <f>H158*K158*N158*Q158*S158</f>
        <v>7200000</v>
      </c>
      <c r="U158" s="87"/>
      <c r="W158" s="58"/>
    </row>
    <row r="159" spans="1:23" s="37" customFormat="1" ht="21" customHeight="1" x14ac:dyDescent="0.2">
      <c r="A159" s="93"/>
      <c r="B159" s="94"/>
      <c r="C159" s="103"/>
      <c r="D159" s="100"/>
      <c r="E159" s="104"/>
      <c r="F159" s="97" t="s">
        <v>76</v>
      </c>
      <c r="G159" s="34"/>
      <c r="H159" s="100"/>
      <c r="I159" s="100"/>
      <c r="J159" s="100"/>
      <c r="K159" s="100">
        <v>5</v>
      </c>
      <c r="L159" s="100" t="s">
        <v>33</v>
      </c>
      <c r="M159" s="100" t="s">
        <v>21</v>
      </c>
      <c r="N159" s="100">
        <v>5</v>
      </c>
      <c r="O159" s="100" t="s">
        <v>23</v>
      </c>
      <c r="P159" s="100" t="s">
        <v>21</v>
      </c>
      <c r="Q159" s="87">
        <v>12</v>
      </c>
      <c r="R159" s="100" t="s">
        <v>35</v>
      </c>
      <c r="S159" s="105">
        <v>750</v>
      </c>
      <c r="T159" s="106">
        <f>K159*N159*Q159*S159</f>
        <v>225000</v>
      </c>
      <c r="U159" s="100"/>
      <c r="W159" s="36"/>
    </row>
    <row r="160" spans="1:23" s="37" customFormat="1" ht="23.25" customHeight="1" x14ac:dyDescent="0.2">
      <c r="A160" s="54"/>
      <c r="B160" s="55">
        <v>6</v>
      </c>
      <c r="C160" s="188" t="s">
        <v>94</v>
      </c>
      <c r="D160" s="188"/>
      <c r="E160" s="188"/>
      <c r="F160" s="188"/>
      <c r="G160" s="188"/>
      <c r="H160" s="188"/>
      <c r="I160" s="188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07">
        <f>SUM(U161,U166,U171,U176)</f>
        <v>25932500</v>
      </c>
      <c r="V160" s="57"/>
      <c r="W160" s="36"/>
    </row>
    <row r="161" spans="1:23" s="59" customFormat="1" ht="35" customHeight="1" x14ac:dyDescent="0.2">
      <c r="A161" s="54"/>
      <c r="B161" s="55"/>
      <c r="C161" s="187" t="s">
        <v>95</v>
      </c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56">
        <f>SUM(T162:T165)</f>
        <v>8251250</v>
      </c>
      <c r="V161" s="57"/>
      <c r="W161" s="58"/>
    </row>
    <row r="162" spans="1:23" s="59" customFormat="1" ht="30.75" customHeight="1" x14ac:dyDescent="0.2">
      <c r="A162" s="54"/>
      <c r="B162" s="55"/>
      <c r="C162" s="84"/>
      <c r="D162" s="40"/>
      <c r="E162" s="85" t="s">
        <v>39</v>
      </c>
      <c r="F162" s="86" t="s">
        <v>66</v>
      </c>
      <c r="G162" s="34" t="s">
        <v>19</v>
      </c>
      <c r="H162" s="87">
        <v>2</v>
      </c>
      <c r="I162" s="87" t="s">
        <v>20</v>
      </c>
      <c r="J162" s="87" t="s">
        <v>21</v>
      </c>
      <c r="K162" s="87">
        <v>1</v>
      </c>
      <c r="L162" s="87" t="s">
        <v>22</v>
      </c>
      <c r="M162" s="87" t="s">
        <v>21</v>
      </c>
      <c r="N162" s="87">
        <v>2</v>
      </c>
      <c r="O162" s="87" t="s">
        <v>23</v>
      </c>
      <c r="P162" s="87" t="s">
        <v>21</v>
      </c>
      <c r="Q162" s="87">
        <v>7</v>
      </c>
      <c r="R162" s="87" t="s">
        <v>31</v>
      </c>
      <c r="S162" s="88">
        <v>70000</v>
      </c>
      <c r="T162" s="89">
        <f>H162*K162*N162*Q162*S162</f>
        <v>1960000</v>
      </c>
      <c r="U162" s="87"/>
      <c r="V162" s="90"/>
      <c r="W162" s="58"/>
    </row>
    <row r="163" spans="1:23" s="59" customFormat="1" ht="29" customHeight="1" x14ac:dyDescent="0.2">
      <c r="A163" s="54"/>
      <c r="B163" s="55"/>
      <c r="C163" s="84"/>
      <c r="D163" s="87"/>
      <c r="E163" s="91"/>
      <c r="F163" s="86" t="s">
        <v>67</v>
      </c>
      <c r="G163" s="34" t="s">
        <v>19</v>
      </c>
      <c r="H163" s="87">
        <v>2</v>
      </c>
      <c r="I163" s="87" t="s">
        <v>20</v>
      </c>
      <c r="J163" s="87" t="s">
        <v>21</v>
      </c>
      <c r="K163" s="87">
        <v>1</v>
      </c>
      <c r="L163" s="87" t="s">
        <v>22</v>
      </c>
      <c r="M163" s="87" t="s">
        <v>21</v>
      </c>
      <c r="N163" s="87">
        <v>2</v>
      </c>
      <c r="O163" s="87" t="s">
        <v>23</v>
      </c>
      <c r="P163" s="87" t="s">
        <v>21</v>
      </c>
      <c r="Q163" s="87">
        <v>7</v>
      </c>
      <c r="R163" s="87" t="s">
        <v>31</v>
      </c>
      <c r="S163" s="88">
        <v>70000</v>
      </c>
      <c r="T163" s="89">
        <f>H163*K163*N163*Q163*S163</f>
        <v>1960000</v>
      </c>
      <c r="U163" s="87"/>
      <c r="W163" s="58"/>
    </row>
    <row r="164" spans="1:23" s="59" customFormat="1" ht="29" customHeight="1" x14ac:dyDescent="0.2">
      <c r="A164" s="54"/>
      <c r="B164" s="55"/>
      <c r="C164" s="84"/>
      <c r="D164" s="87"/>
      <c r="E164" s="91"/>
      <c r="F164" s="86" t="s">
        <v>68</v>
      </c>
      <c r="G164" s="34" t="s">
        <v>19</v>
      </c>
      <c r="H164" s="87">
        <v>2</v>
      </c>
      <c r="I164" s="87" t="s">
        <v>20</v>
      </c>
      <c r="J164" s="87" t="s">
        <v>21</v>
      </c>
      <c r="K164" s="87">
        <v>1</v>
      </c>
      <c r="L164" s="87" t="s">
        <v>22</v>
      </c>
      <c r="M164" s="87" t="s">
        <v>21</v>
      </c>
      <c r="N164" s="87">
        <v>2</v>
      </c>
      <c r="O164" s="87" t="s">
        <v>23</v>
      </c>
      <c r="P164" s="87" t="s">
        <v>21</v>
      </c>
      <c r="Q164" s="87">
        <v>7</v>
      </c>
      <c r="R164" s="87" t="s">
        <v>31</v>
      </c>
      <c r="S164" s="88">
        <v>150000</v>
      </c>
      <c r="T164" s="89">
        <f>H164*K164*N164*Q164*S164</f>
        <v>4200000</v>
      </c>
      <c r="U164" s="87"/>
      <c r="W164" s="58"/>
    </row>
    <row r="165" spans="1:23" s="37" customFormat="1" ht="21" customHeight="1" x14ac:dyDescent="0.2">
      <c r="A165" s="93"/>
      <c r="B165" s="94"/>
      <c r="C165" s="103"/>
      <c r="D165" s="100"/>
      <c r="E165" s="104"/>
      <c r="F165" s="97" t="s">
        <v>76</v>
      </c>
      <c r="G165" s="34"/>
      <c r="H165" s="100"/>
      <c r="I165" s="100"/>
      <c r="J165" s="100"/>
      <c r="K165" s="100">
        <v>5</v>
      </c>
      <c r="L165" s="100" t="s">
        <v>33</v>
      </c>
      <c r="M165" s="100" t="s">
        <v>21</v>
      </c>
      <c r="N165" s="100">
        <v>5</v>
      </c>
      <c r="O165" s="100" t="s">
        <v>23</v>
      </c>
      <c r="P165" s="100" t="s">
        <v>21</v>
      </c>
      <c r="Q165" s="87">
        <v>7</v>
      </c>
      <c r="R165" s="100" t="s">
        <v>35</v>
      </c>
      <c r="S165" s="105">
        <v>750</v>
      </c>
      <c r="T165" s="106">
        <f>K165*N165*Q165*S165</f>
        <v>131250</v>
      </c>
      <c r="U165" s="100"/>
      <c r="W165" s="36"/>
    </row>
    <row r="166" spans="1:23" s="59" customFormat="1" ht="35" customHeight="1" x14ac:dyDescent="0.2">
      <c r="A166" s="54"/>
      <c r="B166" s="55"/>
      <c r="C166" s="187" t="s">
        <v>96</v>
      </c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56">
        <f>SUM(T167:T170)</f>
        <v>2357500</v>
      </c>
      <c r="V166" s="57"/>
      <c r="W166" s="58"/>
    </row>
    <row r="167" spans="1:23" s="59" customFormat="1" ht="30.75" customHeight="1" x14ac:dyDescent="0.2">
      <c r="A167" s="54"/>
      <c r="B167" s="55"/>
      <c r="C167" s="84"/>
      <c r="D167" s="40"/>
      <c r="E167" s="85" t="s">
        <v>39</v>
      </c>
      <c r="F167" s="86" t="s">
        <v>66</v>
      </c>
      <c r="G167" s="34" t="s">
        <v>19</v>
      </c>
      <c r="H167" s="87">
        <v>2</v>
      </c>
      <c r="I167" s="87" t="s">
        <v>20</v>
      </c>
      <c r="J167" s="87" t="s">
        <v>21</v>
      </c>
      <c r="K167" s="87">
        <v>1</v>
      </c>
      <c r="L167" s="87" t="s">
        <v>22</v>
      </c>
      <c r="M167" s="87" t="s">
        <v>21</v>
      </c>
      <c r="N167" s="87">
        <v>2</v>
      </c>
      <c r="O167" s="87" t="s">
        <v>23</v>
      </c>
      <c r="P167" s="87" t="s">
        <v>21</v>
      </c>
      <c r="Q167" s="87">
        <v>2</v>
      </c>
      <c r="R167" s="87" t="s">
        <v>31</v>
      </c>
      <c r="S167" s="88">
        <v>70000</v>
      </c>
      <c r="T167" s="89">
        <f>H167*K167*N167*Q167*S167</f>
        <v>560000</v>
      </c>
      <c r="U167" s="87"/>
      <c r="V167" s="90"/>
      <c r="W167" s="58"/>
    </row>
    <row r="168" spans="1:23" s="59" customFormat="1" ht="29" customHeight="1" x14ac:dyDescent="0.2">
      <c r="A168" s="54"/>
      <c r="B168" s="55"/>
      <c r="C168" s="84"/>
      <c r="D168" s="87"/>
      <c r="E168" s="91"/>
      <c r="F168" s="86" t="s">
        <v>67</v>
      </c>
      <c r="G168" s="34" t="s">
        <v>19</v>
      </c>
      <c r="H168" s="87">
        <v>2</v>
      </c>
      <c r="I168" s="87" t="s">
        <v>20</v>
      </c>
      <c r="J168" s="87" t="s">
        <v>21</v>
      </c>
      <c r="K168" s="87">
        <v>1</v>
      </c>
      <c r="L168" s="87" t="s">
        <v>22</v>
      </c>
      <c r="M168" s="87" t="s">
        <v>21</v>
      </c>
      <c r="N168" s="87">
        <v>2</v>
      </c>
      <c r="O168" s="87" t="s">
        <v>23</v>
      </c>
      <c r="P168" s="87" t="s">
        <v>21</v>
      </c>
      <c r="Q168" s="87">
        <v>2</v>
      </c>
      <c r="R168" s="87" t="s">
        <v>31</v>
      </c>
      <c r="S168" s="88">
        <v>70000</v>
      </c>
      <c r="T168" s="89">
        <f>H168*K168*N168*Q168*S168</f>
        <v>560000</v>
      </c>
      <c r="U168" s="87"/>
      <c r="W168" s="58"/>
    </row>
    <row r="169" spans="1:23" s="59" customFormat="1" ht="29" customHeight="1" x14ac:dyDescent="0.2">
      <c r="A169" s="54"/>
      <c r="B169" s="55"/>
      <c r="C169" s="84"/>
      <c r="D169" s="87"/>
      <c r="E169" s="91"/>
      <c r="F169" s="86" t="s">
        <v>68</v>
      </c>
      <c r="G169" s="34" t="s">
        <v>19</v>
      </c>
      <c r="H169" s="87">
        <v>2</v>
      </c>
      <c r="I169" s="87" t="s">
        <v>20</v>
      </c>
      <c r="J169" s="87" t="s">
        <v>21</v>
      </c>
      <c r="K169" s="87">
        <v>1</v>
      </c>
      <c r="L169" s="87" t="s">
        <v>22</v>
      </c>
      <c r="M169" s="87" t="s">
        <v>21</v>
      </c>
      <c r="N169" s="87">
        <v>2</v>
      </c>
      <c r="O169" s="87" t="s">
        <v>23</v>
      </c>
      <c r="P169" s="87" t="s">
        <v>21</v>
      </c>
      <c r="Q169" s="87">
        <v>2</v>
      </c>
      <c r="R169" s="87" t="s">
        <v>31</v>
      </c>
      <c r="S169" s="88">
        <v>150000</v>
      </c>
      <c r="T169" s="89">
        <f>H169*K169*N169*Q169*S169</f>
        <v>1200000</v>
      </c>
      <c r="U169" s="87"/>
      <c r="W169" s="58"/>
    </row>
    <row r="170" spans="1:23" s="37" customFormat="1" ht="21" customHeight="1" x14ac:dyDescent="0.2">
      <c r="A170" s="93"/>
      <c r="B170" s="94"/>
      <c r="C170" s="103"/>
      <c r="D170" s="100"/>
      <c r="E170" s="104"/>
      <c r="F170" s="97" t="s">
        <v>76</v>
      </c>
      <c r="G170" s="34"/>
      <c r="H170" s="100"/>
      <c r="I170" s="100"/>
      <c r="J170" s="100"/>
      <c r="K170" s="100">
        <v>5</v>
      </c>
      <c r="L170" s="100" t="s">
        <v>33</v>
      </c>
      <c r="M170" s="100" t="s">
        <v>21</v>
      </c>
      <c r="N170" s="100">
        <v>5</v>
      </c>
      <c r="O170" s="100" t="s">
        <v>23</v>
      </c>
      <c r="P170" s="100" t="s">
        <v>21</v>
      </c>
      <c r="Q170" s="87">
        <v>2</v>
      </c>
      <c r="R170" s="100" t="s">
        <v>35</v>
      </c>
      <c r="S170" s="105">
        <v>750</v>
      </c>
      <c r="T170" s="106">
        <f>K170*N170*Q170*S170</f>
        <v>37500</v>
      </c>
      <c r="U170" s="100"/>
      <c r="W170" s="36"/>
    </row>
    <row r="171" spans="1:23" s="59" customFormat="1" ht="35" customHeight="1" x14ac:dyDescent="0.2">
      <c r="A171" s="54"/>
      <c r="B171" s="55"/>
      <c r="C171" s="187" t="s">
        <v>97</v>
      </c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56">
        <f>SUM(T172:T175)</f>
        <v>7072500</v>
      </c>
      <c r="V171" s="57"/>
      <c r="W171" s="58"/>
    </row>
    <row r="172" spans="1:23" s="59" customFormat="1" ht="30.75" customHeight="1" x14ac:dyDescent="0.2">
      <c r="A172" s="54"/>
      <c r="B172" s="55"/>
      <c r="C172" s="84"/>
      <c r="D172" s="40"/>
      <c r="E172" s="85" t="s">
        <v>39</v>
      </c>
      <c r="F172" s="86" t="s">
        <v>66</v>
      </c>
      <c r="G172" s="34" t="s">
        <v>19</v>
      </c>
      <c r="H172" s="87">
        <v>2</v>
      </c>
      <c r="I172" s="87" t="s">
        <v>20</v>
      </c>
      <c r="J172" s="87" t="s">
        <v>21</v>
      </c>
      <c r="K172" s="87">
        <v>1</v>
      </c>
      <c r="L172" s="87" t="s">
        <v>22</v>
      </c>
      <c r="M172" s="87" t="s">
        <v>21</v>
      </c>
      <c r="N172" s="87">
        <v>2</v>
      </c>
      <c r="O172" s="87" t="s">
        <v>23</v>
      </c>
      <c r="P172" s="87" t="s">
        <v>21</v>
      </c>
      <c r="Q172" s="87">
        <v>6</v>
      </c>
      <c r="R172" s="87" t="s">
        <v>31</v>
      </c>
      <c r="S172" s="88">
        <v>70000</v>
      </c>
      <c r="T172" s="89">
        <f>H172*K172*N172*Q172*S172</f>
        <v>1680000</v>
      </c>
      <c r="U172" s="87"/>
      <c r="V172" s="90"/>
      <c r="W172" s="58"/>
    </row>
    <row r="173" spans="1:23" s="59" customFormat="1" ht="29" customHeight="1" x14ac:dyDescent="0.2">
      <c r="A173" s="54"/>
      <c r="B173" s="55"/>
      <c r="C173" s="84"/>
      <c r="D173" s="87"/>
      <c r="E173" s="91"/>
      <c r="F173" s="86" t="s">
        <v>67</v>
      </c>
      <c r="G173" s="34" t="s">
        <v>19</v>
      </c>
      <c r="H173" s="87">
        <v>2</v>
      </c>
      <c r="I173" s="87" t="s">
        <v>20</v>
      </c>
      <c r="J173" s="87" t="s">
        <v>21</v>
      </c>
      <c r="K173" s="87">
        <v>1</v>
      </c>
      <c r="L173" s="87" t="s">
        <v>22</v>
      </c>
      <c r="M173" s="87" t="s">
        <v>21</v>
      </c>
      <c r="N173" s="87">
        <v>2</v>
      </c>
      <c r="O173" s="87" t="s">
        <v>23</v>
      </c>
      <c r="P173" s="87" t="s">
        <v>21</v>
      </c>
      <c r="Q173" s="87">
        <v>6</v>
      </c>
      <c r="R173" s="87" t="s">
        <v>31</v>
      </c>
      <c r="S173" s="88">
        <v>70000</v>
      </c>
      <c r="T173" s="89">
        <f>H173*K173*N173*Q173*S173</f>
        <v>1680000</v>
      </c>
      <c r="U173" s="87"/>
      <c r="W173" s="58"/>
    </row>
    <row r="174" spans="1:23" s="59" customFormat="1" ht="29" customHeight="1" x14ac:dyDescent="0.2">
      <c r="A174" s="54"/>
      <c r="B174" s="55"/>
      <c r="C174" s="84"/>
      <c r="D174" s="87"/>
      <c r="E174" s="91"/>
      <c r="F174" s="86" t="s">
        <v>68</v>
      </c>
      <c r="G174" s="34" t="s">
        <v>19</v>
      </c>
      <c r="H174" s="87">
        <v>2</v>
      </c>
      <c r="I174" s="87" t="s">
        <v>20</v>
      </c>
      <c r="J174" s="87" t="s">
        <v>21</v>
      </c>
      <c r="K174" s="87">
        <v>1</v>
      </c>
      <c r="L174" s="87" t="s">
        <v>22</v>
      </c>
      <c r="M174" s="87" t="s">
        <v>21</v>
      </c>
      <c r="N174" s="87">
        <v>2</v>
      </c>
      <c r="O174" s="87" t="s">
        <v>23</v>
      </c>
      <c r="P174" s="87" t="s">
        <v>21</v>
      </c>
      <c r="Q174" s="87">
        <v>6</v>
      </c>
      <c r="R174" s="87" t="s">
        <v>31</v>
      </c>
      <c r="S174" s="88">
        <v>150000</v>
      </c>
      <c r="T174" s="89">
        <f>H174*K174*N174*Q174*S174</f>
        <v>3600000</v>
      </c>
      <c r="U174" s="87"/>
      <c r="W174" s="58"/>
    </row>
    <row r="175" spans="1:23" s="37" customFormat="1" ht="21" customHeight="1" x14ac:dyDescent="0.2">
      <c r="A175" s="93"/>
      <c r="B175" s="94"/>
      <c r="C175" s="103"/>
      <c r="D175" s="100"/>
      <c r="E175" s="104"/>
      <c r="F175" s="97" t="s">
        <v>76</v>
      </c>
      <c r="G175" s="34"/>
      <c r="H175" s="100"/>
      <c r="I175" s="100"/>
      <c r="J175" s="100"/>
      <c r="K175" s="100">
        <v>5</v>
      </c>
      <c r="L175" s="100" t="s">
        <v>33</v>
      </c>
      <c r="M175" s="100" t="s">
        <v>21</v>
      </c>
      <c r="N175" s="100">
        <v>5</v>
      </c>
      <c r="O175" s="100" t="s">
        <v>23</v>
      </c>
      <c r="P175" s="100" t="s">
        <v>21</v>
      </c>
      <c r="Q175" s="87">
        <v>6</v>
      </c>
      <c r="R175" s="100" t="s">
        <v>35</v>
      </c>
      <c r="S175" s="105">
        <v>750</v>
      </c>
      <c r="T175" s="106">
        <f>K175*N175*Q175*S175</f>
        <v>112500</v>
      </c>
      <c r="U175" s="100"/>
      <c r="W175" s="36"/>
    </row>
    <row r="176" spans="1:23" s="59" customFormat="1" ht="35" customHeight="1" x14ac:dyDescent="0.2">
      <c r="A176" s="54"/>
      <c r="B176" s="55"/>
      <c r="C176" s="187" t="s">
        <v>98</v>
      </c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56">
        <f>SUM(T177:T180)</f>
        <v>8251250</v>
      </c>
      <c r="V176" s="57"/>
      <c r="W176" s="58"/>
    </row>
    <row r="177" spans="1:23" s="59" customFormat="1" ht="30.75" customHeight="1" x14ac:dyDescent="0.2">
      <c r="A177" s="54"/>
      <c r="B177" s="55"/>
      <c r="C177" s="84"/>
      <c r="D177" s="40"/>
      <c r="E177" s="85" t="s">
        <v>39</v>
      </c>
      <c r="F177" s="86" t="s">
        <v>66</v>
      </c>
      <c r="G177" s="34" t="s">
        <v>19</v>
      </c>
      <c r="H177" s="87">
        <v>2</v>
      </c>
      <c r="I177" s="87" t="s">
        <v>20</v>
      </c>
      <c r="J177" s="87" t="s">
        <v>21</v>
      </c>
      <c r="K177" s="87">
        <v>1</v>
      </c>
      <c r="L177" s="87" t="s">
        <v>22</v>
      </c>
      <c r="M177" s="87" t="s">
        <v>21</v>
      </c>
      <c r="N177" s="87">
        <v>2</v>
      </c>
      <c r="O177" s="87" t="s">
        <v>23</v>
      </c>
      <c r="P177" s="87" t="s">
        <v>21</v>
      </c>
      <c r="Q177" s="87">
        <v>7</v>
      </c>
      <c r="R177" s="87" t="s">
        <v>31</v>
      </c>
      <c r="S177" s="88">
        <v>70000</v>
      </c>
      <c r="T177" s="89">
        <f>H177*K177*N177*Q177*S177</f>
        <v>1960000</v>
      </c>
      <c r="U177" s="87"/>
      <c r="V177" s="90"/>
      <c r="W177" s="58"/>
    </row>
    <row r="178" spans="1:23" s="59" customFormat="1" ht="29" customHeight="1" x14ac:dyDescent="0.2">
      <c r="A178" s="54"/>
      <c r="B178" s="55"/>
      <c r="C178" s="84"/>
      <c r="D178" s="87"/>
      <c r="E178" s="91"/>
      <c r="F178" s="86" t="s">
        <v>67</v>
      </c>
      <c r="G178" s="34" t="s">
        <v>19</v>
      </c>
      <c r="H178" s="87">
        <v>2</v>
      </c>
      <c r="I178" s="87" t="s">
        <v>20</v>
      </c>
      <c r="J178" s="87" t="s">
        <v>21</v>
      </c>
      <c r="K178" s="87">
        <v>1</v>
      </c>
      <c r="L178" s="87" t="s">
        <v>22</v>
      </c>
      <c r="M178" s="87" t="s">
        <v>21</v>
      </c>
      <c r="N178" s="87">
        <v>2</v>
      </c>
      <c r="O178" s="87" t="s">
        <v>23</v>
      </c>
      <c r="P178" s="87" t="s">
        <v>21</v>
      </c>
      <c r="Q178" s="87">
        <v>7</v>
      </c>
      <c r="R178" s="87" t="s">
        <v>31</v>
      </c>
      <c r="S178" s="88">
        <v>70000</v>
      </c>
      <c r="T178" s="89">
        <f>H178*K178*N178*Q178*S178</f>
        <v>1960000</v>
      </c>
      <c r="U178" s="87"/>
      <c r="W178" s="58"/>
    </row>
    <row r="179" spans="1:23" s="59" customFormat="1" ht="29" customHeight="1" x14ac:dyDescent="0.2">
      <c r="A179" s="54"/>
      <c r="B179" s="55"/>
      <c r="C179" s="84"/>
      <c r="D179" s="87"/>
      <c r="E179" s="91"/>
      <c r="F179" s="86" t="s">
        <v>68</v>
      </c>
      <c r="G179" s="34" t="s">
        <v>19</v>
      </c>
      <c r="H179" s="87">
        <v>2</v>
      </c>
      <c r="I179" s="87" t="s">
        <v>20</v>
      </c>
      <c r="J179" s="87" t="s">
        <v>21</v>
      </c>
      <c r="K179" s="87">
        <v>1</v>
      </c>
      <c r="L179" s="87" t="s">
        <v>22</v>
      </c>
      <c r="M179" s="87" t="s">
        <v>21</v>
      </c>
      <c r="N179" s="87">
        <v>2</v>
      </c>
      <c r="O179" s="87" t="s">
        <v>23</v>
      </c>
      <c r="P179" s="87" t="s">
        <v>21</v>
      </c>
      <c r="Q179" s="87">
        <v>7</v>
      </c>
      <c r="R179" s="87" t="s">
        <v>31</v>
      </c>
      <c r="S179" s="88">
        <v>150000</v>
      </c>
      <c r="T179" s="89">
        <f>H179*K179*N179*Q179*S179</f>
        <v>4200000</v>
      </c>
      <c r="U179" s="87"/>
      <c r="W179" s="58"/>
    </row>
    <row r="180" spans="1:23" s="37" customFormat="1" ht="21" customHeight="1" x14ac:dyDescent="0.2">
      <c r="A180" s="93"/>
      <c r="B180" s="94"/>
      <c r="C180" s="103"/>
      <c r="D180" s="100"/>
      <c r="E180" s="104"/>
      <c r="F180" s="97" t="s">
        <v>76</v>
      </c>
      <c r="G180" s="34"/>
      <c r="H180" s="100"/>
      <c r="I180" s="100"/>
      <c r="J180" s="100"/>
      <c r="K180" s="100">
        <v>5</v>
      </c>
      <c r="L180" s="100" t="s">
        <v>33</v>
      </c>
      <c r="M180" s="100" t="s">
        <v>21</v>
      </c>
      <c r="N180" s="100">
        <v>5</v>
      </c>
      <c r="O180" s="100" t="s">
        <v>23</v>
      </c>
      <c r="P180" s="100" t="s">
        <v>21</v>
      </c>
      <c r="Q180" s="87">
        <v>7</v>
      </c>
      <c r="R180" s="100" t="s">
        <v>35</v>
      </c>
      <c r="S180" s="105">
        <v>750</v>
      </c>
      <c r="T180" s="106">
        <f>K180*N180*Q180*S180</f>
        <v>131250</v>
      </c>
      <c r="U180" s="100"/>
      <c r="W180" s="36"/>
    </row>
    <row r="181" spans="1:23" s="37" customFormat="1" ht="21" customHeight="1" x14ac:dyDescent="0.2">
      <c r="A181" s="54"/>
      <c r="B181" s="55">
        <v>7</v>
      </c>
      <c r="C181" s="184" t="s">
        <v>99</v>
      </c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/>
      <c r="Q181" s="184"/>
      <c r="R181" s="184"/>
      <c r="S181" s="184"/>
      <c r="T181" s="184"/>
      <c r="U181" s="107">
        <f>SUM(U182,U187)</f>
        <v>12705000</v>
      </c>
      <c r="W181" s="36"/>
    </row>
    <row r="182" spans="1:23" s="59" customFormat="1" ht="35" customHeight="1" x14ac:dyDescent="0.2">
      <c r="A182" s="54"/>
      <c r="B182" s="55"/>
      <c r="C182" s="187" t="s">
        <v>100</v>
      </c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56">
        <f>SUM(T183:T186)</f>
        <v>11787500</v>
      </c>
      <c r="V182" s="57"/>
      <c r="W182" s="58"/>
    </row>
    <row r="183" spans="1:23" s="59" customFormat="1" ht="30.75" customHeight="1" x14ac:dyDescent="0.2">
      <c r="A183" s="54"/>
      <c r="B183" s="55"/>
      <c r="C183" s="84"/>
      <c r="D183" s="40"/>
      <c r="E183" s="85" t="s">
        <v>101</v>
      </c>
      <c r="F183" s="86" t="s">
        <v>66</v>
      </c>
      <c r="G183" s="34" t="s">
        <v>19</v>
      </c>
      <c r="H183" s="87">
        <v>2</v>
      </c>
      <c r="I183" s="87" t="s">
        <v>20</v>
      </c>
      <c r="J183" s="87" t="s">
        <v>21</v>
      </c>
      <c r="K183" s="87">
        <v>1</v>
      </c>
      <c r="L183" s="87" t="s">
        <v>22</v>
      </c>
      <c r="M183" s="87" t="s">
        <v>21</v>
      </c>
      <c r="N183" s="87">
        <v>2</v>
      </c>
      <c r="O183" s="87" t="s">
        <v>23</v>
      </c>
      <c r="P183" s="87" t="s">
        <v>21</v>
      </c>
      <c r="Q183" s="87">
        <v>10</v>
      </c>
      <c r="R183" s="87" t="s">
        <v>31</v>
      </c>
      <c r="S183" s="88">
        <v>70000</v>
      </c>
      <c r="T183" s="89">
        <f>H183*K183*N183*Q183*S183</f>
        <v>2800000</v>
      </c>
      <c r="U183" s="87"/>
      <c r="V183" s="90"/>
      <c r="W183" s="58"/>
    </row>
    <row r="184" spans="1:23" s="59" customFormat="1" ht="29" customHeight="1" x14ac:dyDescent="0.2">
      <c r="A184" s="54"/>
      <c r="B184" s="55"/>
      <c r="C184" s="84"/>
      <c r="D184" s="87"/>
      <c r="E184" s="91"/>
      <c r="F184" s="86" t="s">
        <v>67</v>
      </c>
      <c r="G184" s="34" t="s">
        <v>19</v>
      </c>
      <c r="H184" s="87">
        <v>2</v>
      </c>
      <c r="I184" s="87" t="s">
        <v>20</v>
      </c>
      <c r="J184" s="87" t="s">
        <v>21</v>
      </c>
      <c r="K184" s="87">
        <v>1</v>
      </c>
      <c r="L184" s="87" t="s">
        <v>22</v>
      </c>
      <c r="M184" s="87" t="s">
        <v>21</v>
      </c>
      <c r="N184" s="87">
        <v>2</v>
      </c>
      <c r="O184" s="87" t="s">
        <v>23</v>
      </c>
      <c r="P184" s="87" t="s">
        <v>21</v>
      </c>
      <c r="Q184" s="87">
        <v>10</v>
      </c>
      <c r="R184" s="87" t="s">
        <v>31</v>
      </c>
      <c r="S184" s="88">
        <v>70000</v>
      </c>
      <c r="T184" s="89">
        <f>H184*K184*N184*Q184*S184</f>
        <v>2800000</v>
      </c>
      <c r="U184" s="87"/>
      <c r="W184" s="58"/>
    </row>
    <row r="185" spans="1:23" s="59" customFormat="1" ht="29" customHeight="1" x14ac:dyDescent="0.2">
      <c r="A185" s="54"/>
      <c r="B185" s="55"/>
      <c r="C185" s="84"/>
      <c r="D185" s="87"/>
      <c r="E185" s="91"/>
      <c r="F185" s="86" t="s">
        <v>68</v>
      </c>
      <c r="G185" s="34" t="s">
        <v>19</v>
      </c>
      <c r="H185" s="87">
        <v>2</v>
      </c>
      <c r="I185" s="87" t="s">
        <v>20</v>
      </c>
      <c r="J185" s="87" t="s">
        <v>21</v>
      </c>
      <c r="K185" s="87">
        <v>1</v>
      </c>
      <c r="L185" s="87" t="s">
        <v>22</v>
      </c>
      <c r="M185" s="87" t="s">
        <v>21</v>
      </c>
      <c r="N185" s="87">
        <v>2</v>
      </c>
      <c r="O185" s="87" t="s">
        <v>23</v>
      </c>
      <c r="P185" s="87" t="s">
        <v>21</v>
      </c>
      <c r="Q185" s="87">
        <v>10</v>
      </c>
      <c r="R185" s="87" t="s">
        <v>31</v>
      </c>
      <c r="S185" s="88">
        <v>150000</v>
      </c>
      <c r="T185" s="89">
        <f>H185*K185*N185*Q185*S185</f>
        <v>6000000</v>
      </c>
      <c r="U185" s="87"/>
      <c r="W185" s="58"/>
    </row>
    <row r="186" spans="1:23" s="53" customFormat="1" ht="21" customHeight="1" x14ac:dyDescent="0.2">
      <c r="A186" s="54"/>
      <c r="B186" s="55"/>
      <c r="C186" s="84"/>
      <c r="D186" s="87"/>
      <c r="E186" s="91"/>
      <c r="F186" s="86" t="s">
        <v>76</v>
      </c>
      <c r="G186" s="43"/>
      <c r="H186" s="87"/>
      <c r="I186" s="87"/>
      <c r="J186" s="87"/>
      <c r="K186" s="87">
        <v>5</v>
      </c>
      <c r="L186" s="87" t="s">
        <v>33</v>
      </c>
      <c r="M186" s="87" t="s">
        <v>21</v>
      </c>
      <c r="N186" s="87">
        <v>5</v>
      </c>
      <c r="O186" s="87" t="s">
        <v>23</v>
      </c>
      <c r="P186" s="87" t="s">
        <v>21</v>
      </c>
      <c r="Q186" s="87">
        <v>10</v>
      </c>
      <c r="R186" s="87" t="s">
        <v>35</v>
      </c>
      <c r="S186" s="88">
        <v>750</v>
      </c>
      <c r="T186" s="89">
        <f>K186*N186*Q186*S186</f>
        <v>187500</v>
      </c>
      <c r="U186" s="87"/>
      <c r="W186" s="52"/>
    </row>
    <row r="187" spans="1:23" s="59" customFormat="1" ht="35" customHeight="1" x14ac:dyDescent="0.2">
      <c r="A187" s="54"/>
      <c r="B187" s="55"/>
      <c r="C187" s="187" t="s">
        <v>102</v>
      </c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56">
        <f>SUM(T188:T190)</f>
        <v>917500</v>
      </c>
      <c r="V187" s="57"/>
      <c r="W187" s="58"/>
    </row>
    <row r="188" spans="1:23" s="59" customFormat="1" ht="29" customHeight="1" x14ac:dyDescent="0.2">
      <c r="A188" s="54"/>
      <c r="B188" s="55"/>
      <c r="C188" s="84"/>
      <c r="D188" s="87"/>
      <c r="E188" s="91"/>
      <c r="F188" s="86" t="s">
        <v>67</v>
      </c>
      <c r="G188" s="34" t="s">
        <v>19</v>
      </c>
      <c r="H188" s="87">
        <v>2</v>
      </c>
      <c r="I188" s="87" t="s">
        <v>20</v>
      </c>
      <c r="J188" s="87" t="s">
        <v>21</v>
      </c>
      <c r="K188" s="87">
        <v>1</v>
      </c>
      <c r="L188" s="87" t="s">
        <v>22</v>
      </c>
      <c r="M188" s="87" t="s">
        <v>21</v>
      </c>
      <c r="N188" s="87">
        <v>1</v>
      </c>
      <c r="O188" s="87" t="s">
        <v>23</v>
      </c>
      <c r="P188" s="87" t="s">
        <v>21</v>
      </c>
      <c r="Q188" s="87">
        <v>2</v>
      </c>
      <c r="R188" s="87" t="s">
        <v>31</v>
      </c>
      <c r="S188" s="88">
        <v>70000</v>
      </c>
      <c r="T188" s="89">
        <f>H188*K188*N188*Q188*S188</f>
        <v>280000</v>
      </c>
      <c r="U188" s="87"/>
      <c r="W188" s="58"/>
    </row>
    <row r="189" spans="1:23" s="59" customFormat="1" ht="29" customHeight="1" x14ac:dyDescent="0.2">
      <c r="A189" s="54"/>
      <c r="B189" s="55"/>
      <c r="C189" s="84"/>
      <c r="D189" s="87"/>
      <c r="E189" s="91"/>
      <c r="F189" s="86" t="s">
        <v>68</v>
      </c>
      <c r="G189" s="34" t="s">
        <v>19</v>
      </c>
      <c r="H189" s="87">
        <v>2</v>
      </c>
      <c r="I189" s="87" t="s">
        <v>20</v>
      </c>
      <c r="J189" s="87" t="s">
        <v>21</v>
      </c>
      <c r="K189" s="87">
        <v>1</v>
      </c>
      <c r="L189" s="87" t="s">
        <v>22</v>
      </c>
      <c r="M189" s="87" t="s">
        <v>21</v>
      </c>
      <c r="N189" s="87">
        <v>1</v>
      </c>
      <c r="O189" s="87" t="s">
        <v>23</v>
      </c>
      <c r="P189" s="87" t="s">
        <v>21</v>
      </c>
      <c r="Q189" s="87">
        <v>2</v>
      </c>
      <c r="R189" s="87" t="s">
        <v>31</v>
      </c>
      <c r="S189" s="88">
        <v>150000</v>
      </c>
      <c r="T189" s="89">
        <f>H189*K189*N189*Q189*S189</f>
        <v>600000</v>
      </c>
      <c r="U189" s="87"/>
      <c r="W189" s="58"/>
    </row>
    <row r="190" spans="1:23" s="53" customFormat="1" ht="21" customHeight="1" x14ac:dyDescent="0.2">
      <c r="A190" s="54"/>
      <c r="B190" s="55"/>
      <c r="C190" s="84"/>
      <c r="D190" s="87"/>
      <c r="E190" s="91"/>
      <c r="F190" s="86" t="s">
        <v>76</v>
      </c>
      <c r="G190" s="43"/>
      <c r="H190" s="87"/>
      <c r="I190" s="87"/>
      <c r="J190" s="87"/>
      <c r="K190" s="87">
        <v>5</v>
      </c>
      <c r="L190" s="87" t="s">
        <v>33</v>
      </c>
      <c r="M190" s="87" t="s">
        <v>21</v>
      </c>
      <c r="N190" s="87">
        <v>5</v>
      </c>
      <c r="O190" s="87" t="s">
        <v>23</v>
      </c>
      <c r="P190" s="87" t="s">
        <v>21</v>
      </c>
      <c r="Q190" s="87">
        <v>2</v>
      </c>
      <c r="R190" s="87" t="s">
        <v>35</v>
      </c>
      <c r="S190" s="88">
        <v>750</v>
      </c>
      <c r="T190" s="89">
        <f>K190*N190*Q190*S190</f>
        <v>37500</v>
      </c>
      <c r="U190" s="87"/>
      <c r="W190" s="52"/>
    </row>
    <row r="191" spans="1:23" s="37" customFormat="1" ht="30.75" customHeight="1" x14ac:dyDescent="0.2">
      <c r="A191" s="54"/>
      <c r="B191" s="55">
        <v>8</v>
      </c>
      <c r="C191" s="188" t="s">
        <v>103</v>
      </c>
      <c r="D191" s="188"/>
      <c r="E191" s="188"/>
      <c r="F191" s="188"/>
      <c r="G191" s="188"/>
      <c r="H191" s="188"/>
      <c r="I191" s="188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08">
        <f>SUM(U192,U196)</f>
        <v>22040000</v>
      </c>
      <c r="W191" s="36"/>
    </row>
    <row r="192" spans="1:23" s="59" customFormat="1" ht="35" customHeight="1" x14ac:dyDescent="0.2">
      <c r="A192" s="54"/>
      <c r="B192" s="55"/>
      <c r="C192" s="185" t="s">
        <v>104</v>
      </c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56">
        <f>SUM(T193:T195)</f>
        <v>13920000</v>
      </c>
      <c r="V192" s="57"/>
      <c r="W192" s="58"/>
    </row>
    <row r="193" spans="1:23" s="59" customFormat="1" ht="30.75" customHeight="1" x14ac:dyDescent="0.2">
      <c r="A193" s="54"/>
      <c r="B193" s="55"/>
      <c r="C193" s="84"/>
      <c r="D193" s="40" t="s">
        <v>65</v>
      </c>
      <c r="E193" s="85" t="s">
        <v>39</v>
      </c>
      <c r="F193" s="86" t="s">
        <v>66</v>
      </c>
      <c r="G193" s="34" t="s">
        <v>19</v>
      </c>
      <c r="H193" s="87">
        <v>2</v>
      </c>
      <c r="I193" s="87" t="s">
        <v>20</v>
      </c>
      <c r="J193" s="87" t="s">
        <v>21</v>
      </c>
      <c r="K193" s="87">
        <v>1</v>
      </c>
      <c r="L193" s="87" t="s">
        <v>22</v>
      </c>
      <c r="M193" s="87" t="s">
        <v>21</v>
      </c>
      <c r="N193" s="87">
        <v>2</v>
      </c>
      <c r="O193" s="87" t="s">
        <v>23</v>
      </c>
      <c r="P193" s="87" t="s">
        <v>21</v>
      </c>
      <c r="Q193" s="87">
        <v>12</v>
      </c>
      <c r="R193" s="87" t="s">
        <v>31</v>
      </c>
      <c r="S193" s="88">
        <v>70000</v>
      </c>
      <c r="T193" s="89">
        <f>H193*K193*N193*Q193*S193</f>
        <v>3360000</v>
      </c>
      <c r="U193" s="87"/>
      <c r="V193" s="90"/>
      <c r="W193" s="58"/>
    </row>
    <row r="194" spans="1:23" s="59" customFormat="1" ht="29" customHeight="1" x14ac:dyDescent="0.2">
      <c r="A194" s="54"/>
      <c r="B194" s="55"/>
      <c r="C194" s="84"/>
      <c r="D194" s="87"/>
      <c r="E194" s="91"/>
      <c r="F194" s="86" t="s">
        <v>67</v>
      </c>
      <c r="G194" s="34" t="s">
        <v>19</v>
      </c>
      <c r="H194" s="87">
        <v>2</v>
      </c>
      <c r="I194" s="87" t="s">
        <v>20</v>
      </c>
      <c r="J194" s="87" t="s">
        <v>21</v>
      </c>
      <c r="K194" s="87">
        <v>1</v>
      </c>
      <c r="L194" s="87" t="s">
        <v>22</v>
      </c>
      <c r="M194" s="87" t="s">
        <v>21</v>
      </c>
      <c r="N194" s="87">
        <v>2</v>
      </c>
      <c r="O194" s="87" t="s">
        <v>23</v>
      </c>
      <c r="P194" s="87" t="s">
        <v>21</v>
      </c>
      <c r="Q194" s="87">
        <v>12</v>
      </c>
      <c r="R194" s="87" t="s">
        <v>31</v>
      </c>
      <c r="S194" s="88">
        <v>70000</v>
      </c>
      <c r="T194" s="89">
        <f>H194*K194*N194*Q194*S194</f>
        <v>3360000</v>
      </c>
      <c r="U194" s="87"/>
      <c r="W194" s="58"/>
    </row>
    <row r="195" spans="1:23" s="59" customFormat="1" ht="29" customHeight="1" x14ac:dyDescent="0.2">
      <c r="A195" s="54"/>
      <c r="B195" s="55"/>
      <c r="C195" s="84"/>
      <c r="D195" s="87"/>
      <c r="E195" s="91"/>
      <c r="F195" s="86" t="s">
        <v>68</v>
      </c>
      <c r="G195" s="34" t="s">
        <v>19</v>
      </c>
      <c r="H195" s="87">
        <v>2</v>
      </c>
      <c r="I195" s="87" t="s">
        <v>20</v>
      </c>
      <c r="J195" s="87" t="s">
        <v>21</v>
      </c>
      <c r="K195" s="87">
        <v>1</v>
      </c>
      <c r="L195" s="87" t="s">
        <v>22</v>
      </c>
      <c r="M195" s="87" t="s">
        <v>21</v>
      </c>
      <c r="N195" s="87">
        <v>2</v>
      </c>
      <c r="O195" s="87" t="s">
        <v>23</v>
      </c>
      <c r="P195" s="87" t="s">
        <v>21</v>
      </c>
      <c r="Q195" s="87">
        <v>12</v>
      </c>
      <c r="R195" s="87" t="s">
        <v>31</v>
      </c>
      <c r="S195" s="88">
        <v>150000</v>
      </c>
      <c r="T195" s="89">
        <f>H195*K195*N195*Q195*S195</f>
        <v>7200000</v>
      </c>
      <c r="U195" s="87"/>
      <c r="W195" s="58"/>
    </row>
    <row r="196" spans="1:23" s="59" customFormat="1" ht="35" customHeight="1" x14ac:dyDescent="0.2">
      <c r="A196" s="54"/>
      <c r="B196" s="55"/>
      <c r="C196" s="185" t="s">
        <v>105</v>
      </c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56">
        <f>SUM(T197:T199)</f>
        <v>8120000</v>
      </c>
      <c r="V196" s="57"/>
      <c r="W196" s="58"/>
    </row>
    <row r="197" spans="1:23" s="59" customFormat="1" ht="30.75" customHeight="1" x14ac:dyDescent="0.2">
      <c r="A197" s="54"/>
      <c r="B197" s="55"/>
      <c r="C197" s="84"/>
      <c r="D197" s="40" t="s">
        <v>65</v>
      </c>
      <c r="E197" s="85" t="s">
        <v>39</v>
      </c>
      <c r="F197" s="86" t="s">
        <v>66</v>
      </c>
      <c r="G197" s="34" t="s">
        <v>19</v>
      </c>
      <c r="H197" s="87">
        <v>2</v>
      </c>
      <c r="I197" s="87" t="s">
        <v>20</v>
      </c>
      <c r="J197" s="87" t="s">
        <v>21</v>
      </c>
      <c r="K197" s="87">
        <v>1</v>
      </c>
      <c r="L197" s="87" t="s">
        <v>22</v>
      </c>
      <c r="M197" s="87" t="s">
        <v>21</v>
      </c>
      <c r="N197" s="87">
        <v>2</v>
      </c>
      <c r="O197" s="87" t="s">
        <v>23</v>
      </c>
      <c r="P197" s="87" t="s">
        <v>21</v>
      </c>
      <c r="Q197" s="87">
        <v>7</v>
      </c>
      <c r="R197" s="87" t="s">
        <v>31</v>
      </c>
      <c r="S197" s="88">
        <v>70000</v>
      </c>
      <c r="T197" s="89">
        <f>H197*K197*N197*Q197*S197</f>
        <v>1960000</v>
      </c>
      <c r="U197" s="87"/>
      <c r="V197" s="90"/>
      <c r="W197" s="58"/>
    </row>
    <row r="198" spans="1:23" s="59" customFormat="1" ht="29" customHeight="1" x14ac:dyDescent="0.2">
      <c r="A198" s="54"/>
      <c r="B198" s="55"/>
      <c r="C198" s="84"/>
      <c r="D198" s="87"/>
      <c r="E198" s="91"/>
      <c r="F198" s="86" t="s">
        <v>67</v>
      </c>
      <c r="G198" s="34" t="s">
        <v>19</v>
      </c>
      <c r="H198" s="87">
        <v>2</v>
      </c>
      <c r="I198" s="87" t="s">
        <v>20</v>
      </c>
      <c r="J198" s="87" t="s">
        <v>21</v>
      </c>
      <c r="K198" s="87">
        <v>1</v>
      </c>
      <c r="L198" s="87" t="s">
        <v>22</v>
      </c>
      <c r="M198" s="87" t="s">
        <v>21</v>
      </c>
      <c r="N198" s="87">
        <v>2</v>
      </c>
      <c r="O198" s="87" t="s">
        <v>23</v>
      </c>
      <c r="P198" s="87" t="s">
        <v>21</v>
      </c>
      <c r="Q198" s="87">
        <v>7</v>
      </c>
      <c r="R198" s="87" t="s">
        <v>31</v>
      </c>
      <c r="S198" s="88">
        <v>70000</v>
      </c>
      <c r="T198" s="89">
        <f>H198*K198*N198*Q198*S198</f>
        <v>1960000</v>
      </c>
      <c r="U198" s="87"/>
      <c r="W198" s="58"/>
    </row>
    <row r="199" spans="1:23" s="59" customFormat="1" ht="29" customHeight="1" x14ac:dyDescent="0.2">
      <c r="A199" s="54"/>
      <c r="B199" s="55"/>
      <c r="C199" s="84"/>
      <c r="D199" s="87"/>
      <c r="E199" s="91"/>
      <c r="F199" s="86" t="s">
        <v>68</v>
      </c>
      <c r="G199" s="34" t="s">
        <v>19</v>
      </c>
      <c r="H199" s="87">
        <v>2</v>
      </c>
      <c r="I199" s="87" t="s">
        <v>20</v>
      </c>
      <c r="J199" s="87" t="s">
        <v>21</v>
      </c>
      <c r="K199" s="87">
        <v>1</v>
      </c>
      <c r="L199" s="87" t="s">
        <v>22</v>
      </c>
      <c r="M199" s="87" t="s">
        <v>21</v>
      </c>
      <c r="N199" s="87">
        <v>2</v>
      </c>
      <c r="O199" s="87" t="s">
        <v>23</v>
      </c>
      <c r="P199" s="87" t="s">
        <v>21</v>
      </c>
      <c r="Q199" s="87">
        <v>7</v>
      </c>
      <c r="R199" s="87" t="s">
        <v>31</v>
      </c>
      <c r="S199" s="88">
        <v>150000</v>
      </c>
      <c r="T199" s="89">
        <f>H199*K199*N199*Q199*S199</f>
        <v>4200000</v>
      </c>
      <c r="U199" s="87"/>
      <c r="W199" s="58"/>
    </row>
    <row r="200" spans="1:23" s="37" customFormat="1" ht="32.25" customHeight="1" x14ac:dyDescent="0.2">
      <c r="A200" s="54"/>
      <c r="B200" s="55">
        <v>9</v>
      </c>
      <c r="C200" s="184" t="s">
        <v>106</v>
      </c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/>
      <c r="Q200" s="184"/>
      <c r="R200" s="184"/>
      <c r="S200" s="184"/>
      <c r="T200" s="184"/>
      <c r="U200" s="107">
        <f>SUM(U201)</f>
        <v>17400000</v>
      </c>
      <c r="V200" s="57"/>
      <c r="W200" s="36"/>
    </row>
    <row r="201" spans="1:23" s="59" customFormat="1" ht="35" customHeight="1" x14ac:dyDescent="0.2">
      <c r="A201" s="54"/>
      <c r="B201" s="55"/>
      <c r="C201" s="185" t="s">
        <v>107</v>
      </c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56">
        <f>SUM(T202:T204)</f>
        <v>17400000</v>
      </c>
      <c r="V201" s="57"/>
      <c r="W201" s="58"/>
    </row>
    <row r="202" spans="1:23" s="59" customFormat="1" ht="30.75" customHeight="1" x14ac:dyDescent="0.2">
      <c r="A202" s="54"/>
      <c r="B202" s="55"/>
      <c r="C202" s="84"/>
      <c r="D202" s="40" t="s">
        <v>65</v>
      </c>
      <c r="E202" s="85" t="s">
        <v>39</v>
      </c>
      <c r="F202" s="86" t="s">
        <v>66</v>
      </c>
      <c r="G202" s="34" t="s">
        <v>19</v>
      </c>
      <c r="H202" s="87">
        <v>2</v>
      </c>
      <c r="I202" s="87" t="s">
        <v>20</v>
      </c>
      <c r="J202" s="87" t="s">
        <v>21</v>
      </c>
      <c r="K202" s="87">
        <v>15</v>
      </c>
      <c r="L202" s="87" t="s">
        <v>22</v>
      </c>
      <c r="M202" s="87" t="s">
        <v>21</v>
      </c>
      <c r="N202" s="87">
        <v>1</v>
      </c>
      <c r="O202" s="87" t="s">
        <v>23</v>
      </c>
      <c r="P202" s="87" t="s">
        <v>21</v>
      </c>
      <c r="Q202" s="87">
        <v>2</v>
      </c>
      <c r="R202" s="87" t="s">
        <v>31</v>
      </c>
      <c r="S202" s="88">
        <v>70000</v>
      </c>
      <c r="T202" s="89">
        <f>H202*K202*Q202*S202</f>
        <v>4200000</v>
      </c>
      <c r="U202" s="87"/>
      <c r="V202" s="90"/>
      <c r="W202" s="58"/>
    </row>
    <row r="203" spans="1:23" s="59" customFormat="1" ht="29" customHeight="1" x14ac:dyDescent="0.2">
      <c r="A203" s="54"/>
      <c r="B203" s="55"/>
      <c r="C203" s="84"/>
      <c r="D203" s="87"/>
      <c r="E203" s="91"/>
      <c r="F203" s="86" t="s">
        <v>67</v>
      </c>
      <c r="G203" s="34" t="s">
        <v>19</v>
      </c>
      <c r="H203" s="87">
        <v>2</v>
      </c>
      <c r="I203" s="87" t="s">
        <v>20</v>
      </c>
      <c r="J203" s="87" t="s">
        <v>21</v>
      </c>
      <c r="K203" s="87">
        <v>15</v>
      </c>
      <c r="L203" s="87" t="s">
        <v>22</v>
      </c>
      <c r="M203" s="87" t="s">
        <v>21</v>
      </c>
      <c r="N203" s="87">
        <v>1</v>
      </c>
      <c r="O203" s="87" t="s">
        <v>23</v>
      </c>
      <c r="P203" s="87" t="s">
        <v>21</v>
      </c>
      <c r="Q203" s="87">
        <v>2</v>
      </c>
      <c r="R203" s="87" t="s">
        <v>31</v>
      </c>
      <c r="S203" s="88">
        <v>70000</v>
      </c>
      <c r="T203" s="89">
        <f>H203*K203*Q203*S203</f>
        <v>4200000</v>
      </c>
      <c r="U203" s="87"/>
      <c r="W203" s="58"/>
    </row>
    <row r="204" spans="1:23" s="59" customFormat="1" ht="29" customHeight="1" x14ac:dyDescent="0.2">
      <c r="A204" s="54"/>
      <c r="B204" s="55"/>
      <c r="C204" s="84"/>
      <c r="D204" s="87"/>
      <c r="E204" s="91"/>
      <c r="F204" s="86" t="s">
        <v>68</v>
      </c>
      <c r="G204" s="34" t="s">
        <v>19</v>
      </c>
      <c r="H204" s="87">
        <v>2</v>
      </c>
      <c r="I204" s="87" t="s">
        <v>20</v>
      </c>
      <c r="J204" s="87" t="s">
        <v>21</v>
      </c>
      <c r="K204" s="87">
        <v>15</v>
      </c>
      <c r="L204" s="87" t="s">
        <v>22</v>
      </c>
      <c r="M204" s="87" t="s">
        <v>21</v>
      </c>
      <c r="N204" s="87">
        <v>1</v>
      </c>
      <c r="O204" s="87" t="s">
        <v>23</v>
      </c>
      <c r="P204" s="87" t="s">
        <v>21</v>
      </c>
      <c r="Q204" s="87">
        <v>2</v>
      </c>
      <c r="R204" s="87" t="s">
        <v>31</v>
      </c>
      <c r="S204" s="88">
        <v>150000</v>
      </c>
      <c r="T204" s="89">
        <f>H204*K204*Q204*S204</f>
        <v>9000000</v>
      </c>
      <c r="U204" s="87"/>
      <c r="W204" s="58"/>
    </row>
    <row r="205" spans="1:23" s="37" customFormat="1" ht="33" customHeight="1" x14ac:dyDescent="0.2">
      <c r="A205" s="87"/>
      <c r="B205" s="55">
        <v>10</v>
      </c>
      <c r="C205" s="184" t="s">
        <v>108</v>
      </c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/>
      <c r="Q205" s="184"/>
      <c r="R205" s="184"/>
      <c r="S205" s="184"/>
      <c r="T205" s="184"/>
      <c r="U205" s="107">
        <f>U206</f>
        <v>8120000</v>
      </c>
      <c r="W205" s="36"/>
    </row>
    <row r="206" spans="1:23" s="59" customFormat="1" ht="35" customHeight="1" x14ac:dyDescent="0.2">
      <c r="A206" s="54"/>
      <c r="B206" s="55"/>
      <c r="C206" s="185" t="s">
        <v>109</v>
      </c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56">
        <f>SUM(T207:T209)</f>
        <v>8120000</v>
      </c>
      <c r="V206" s="57"/>
      <c r="W206" s="58"/>
    </row>
    <row r="207" spans="1:23" s="59" customFormat="1" ht="30.75" customHeight="1" x14ac:dyDescent="0.2">
      <c r="A207" s="54"/>
      <c r="B207" s="55"/>
      <c r="C207" s="84"/>
      <c r="D207" s="40" t="s">
        <v>65</v>
      </c>
      <c r="E207" s="85" t="s">
        <v>39</v>
      </c>
      <c r="F207" s="86" t="s">
        <v>66</v>
      </c>
      <c r="G207" s="34" t="s">
        <v>19</v>
      </c>
      <c r="H207" s="87">
        <v>2</v>
      </c>
      <c r="I207" s="87" t="s">
        <v>20</v>
      </c>
      <c r="J207" s="87" t="s">
        <v>21</v>
      </c>
      <c r="K207" s="87">
        <v>1</v>
      </c>
      <c r="L207" s="87" t="s">
        <v>22</v>
      </c>
      <c r="M207" s="87" t="s">
        <v>21</v>
      </c>
      <c r="N207" s="87">
        <v>2</v>
      </c>
      <c r="O207" s="87" t="s">
        <v>23</v>
      </c>
      <c r="P207" s="87" t="s">
        <v>21</v>
      </c>
      <c r="Q207" s="87">
        <v>7</v>
      </c>
      <c r="R207" s="87" t="s">
        <v>31</v>
      </c>
      <c r="S207" s="88">
        <v>70000</v>
      </c>
      <c r="T207" s="89">
        <f>H207*K207*N207*Q207*S207</f>
        <v>1960000</v>
      </c>
      <c r="U207" s="87"/>
      <c r="V207" s="90"/>
      <c r="W207" s="58"/>
    </row>
    <row r="208" spans="1:23" s="59" customFormat="1" ht="29" customHeight="1" x14ac:dyDescent="0.2">
      <c r="A208" s="54"/>
      <c r="B208" s="55"/>
      <c r="C208" s="84"/>
      <c r="D208" s="87"/>
      <c r="E208" s="91"/>
      <c r="F208" s="86" t="s">
        <v>67</v>
      </c>
      <c r="G208" s="34" t="s">
        <v>19</v>
      </c>
      <c r="H208" s="87">
        <v>2</v>
      </c>
      <c r="I208" s="87" t="s">
        <v>20</v>
      </c>
      <c r="J208" s="87" t="s">
        <v>21</v>
      </c>
      <c r="K208" s="87">
        <v>1</v>
      </c>
      <c r="L208" s="87" t="s">
        <v>22</v>
      </c>
      <c r="M208" s="87" t="s">
        <v>21</v>
      </c>
      <c r="N208" s="87">
        <v>2</v>
      </c>
      <c r="O208" s="87" t="s">
        <v>23</v>
      </c>
      <c r="P208" s="87" t="s">
        <v>21</v>
      </c>
      <c r="Q208" s="87">
        <v>7</v>
      </c>
      <c r="R208" s="87" t="s">
        <v>31</v>
      </c>
      <c r="S208" s="88">
        <v>70000</v>
      </c>
      <c r="T208" s="89">
        <f>H208*K208*N208*Q208*S208</f>
        <v>1960000</v>
      </c>
      <c r="U208" s="87"/>
      <c r="W208" s="58"/>
    </row>
    <row r="209" spans="1:24" s="59" customFormat="1" ht="29" customHeight="1" x14ac:dyDescent="0.2">
      <c r="A209" s="54"/>
      <c r="B209" s="55"/>
      <c r="C209" s="84"/>
      <c r="D209" s="87"/>
      <c r="E209" s="91"/>
      <c r="F209" s="86" t="s">
        <v>68</v>
      </c>
      <c r="G209" s="34" t="s">
        <v>19</v>
      </c>
      <c r="H209" s="87">
        <v>2</v>
      </c>
      <c r="I209" s="87" t="s">
        <v>20</v>
      </c>
      <c r="J209" s="87" t="s">
        <v>21</v>
      </c>
      <c r="K209" s="87">
        <v>1</v>
      </c>
      <c r="L209" s="87" t="s">
        <v>22</v>
      </c>
      <c r="M209" s="87" t="s">
        <v>21</v>
      </c>
      <c r="N209" s="87">
        <v>2</v>
      </c>
      <c r="O209" s="87" t="s">
        <v>23</v>
      </c>
      <c r="P209" s="87" t="s">
        <v>21</v>
      </c>
      <c r="Q209" s="87">
        <v>7</v>
      </c>
      <c r="R209" s="87" t="s">
        <v>31</v>
      </c>
      <c r="S209" s="88">
        <v>150000</v>
      </c>
      <c r="T209" s="89">
        <f>H209*K209*N209*Q209*S209</f>
        <v>4200000</v>
      </c>
      <c r="U209" s="87"/>
      <c r="W209" s="58"/>
    </row>
    <row r="210" spans="1:24" ht="44" customHeight="1" x14ac:dyDescent="0.2">
      <c r="A210" s="109" t="s">
        <v>110</v>
      </c>
      <c r="B210" s="8"/>
      <c r="C210" s="186" t="s">
        <v>111</v>
      </c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0">
        <f>SUM(U211,U213,U215)</f>
        <v>265660000</v>
      </c>
      <c r="V210" s="12"/>
      <c r="W210" s="6"/>
      <c r="X210" s="12"/>
    </row>
    <row r="211" spans="1:24" s="32" customFormat="1" ht="32.25" customHeight="1" x14ac:dyDescent="0.2">
      <c r="A211" s="43"/>
      <c r="B211" s="43">
        <v>1</v>
      </c>
      <c r="C211" s="178" t="s">
        <v>112</v>
      </c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10">
        <f>T212</f>
        <v>45000000</v>
      </c>
      <c r="V211" s="111"/>
    </row>
    <row r="212" spans="1:24" ht="48" x14ac:dyDescent="0.2">
      <c r="A212" s="34"/>
      <c r="B212" s="34"/>
      <c r="C212" s="41"/>
      <c r="D212" s="112" t="s">
        <v>113</v>
      </c>
      <c r="E212" s="113" t="s">
        <v>114</v>
      </c>
      <c r="F212" s="42" t="s">
        <v>115</v>
      </c>
      <c r="G212" s="114" t="s">
        <v>116</v>
      </c>
      <c r="H212" s="63">
        <v>15</v>
      </c>
      <c r="I212" s="63" t="s">
        <v>20</v>
      </c>
      <c r="J212" s="63" t="s">
        <v>117</v>
      </c>
      <c r="K212" s="63">
        <v>120</v>
      </c>
      <c r="L212" s="63" t="s">
        <v>22</v>
      </c>
      <c r="M212" s="63" t="s">
        <v>21</v>
      </c>
      <c r="N212" s="115">
        <v>1</v>
      </c>
      <c r="O212" s="115" t="s">
        <v>118</v>
      </c>
      <c r="P212" s="115" t="s">
        <v>21</v>
      </c>
      <c r="Q212" s="115">
        <v>1</v>
      </c>
      <c r="R212" s="115" t="s">
        <v>30</v>
      </c>
      <c r="S212" s="116">
        <v>25000</v>
      </c>
      <c r="T212" s="117">
        <f>H212*K212*N212*Q212*S212</f>
        <v>45000000</v>
      </c>
      <c r="U212" s="118"/>
      <c r="W212" s="6"/>
      <c r="X212" s="12"/>
    </row>
    <row r="213" spans="1:24" s="32" customFormat="1" ht="32.25" customHeight="1" x14ac:dyDescent="0.2">
      <c r="A213" s="43"/>
      <c r="B213" s="43">
        <v>2</v>
      </c>
      <c r="C213" s="178" t="s">
        <v>119</v>
      </c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10">
        <f>T214</f>
        <v>209440000</v>
      </c>
      <c r="V213" s="111"/>
    </row>
    <row r="214" spans="1:24" ht="67.5" customHeight="1" x14ac:dyDescent="0.2">
      <c r="A214" s="34"/>
      <c r="B214" s="34"/>
      <c r="C214" s="41"/>
      <c r="D214" s="112" t="s">
        <v>120</v>
      </c>
      <c r="E214" s="113" t="s">
        <v>121</v>
      </c>
      <c r="F214" s="42" t="s">
        <v>115</v>
      </c>
      <c r="G214" s="114" t="s">
        <v>116</v>
      </c>
      <c r="H214" s="63">
        <v>187</v>
      </c>
      <c r="I214" s="63" t="s">
        <v>20</v>
      </c>
      <c r="J214" s="63" t="s">
        <v>117</v>
      </c>
      <c r="K214" s="63">
        <v>56</v>
      </c>
      <c r="L214" s="63" t="s">
        <v>22</v>
      </c>
      <c r="M214" s="63" t="s">
        <v>21</v>
      </c>
      <c r="N214" s="115">
        <v>1</v>
      </c>
      <c r="O214" s="115" t="s">
        <v>118</v>
      </c>
      <c r="P214" s="115" t="s">
        <v>21</v>
      </c>
      <c r="Q214" s="115">
        <v>1</v>
      </c>
      <c r="R214" s="115" t="s">
        <v>30</v>
      </c>
      <c r="S214" s="116">
        <v>20000</v>
      </c>
      <c r="T214" s="117">
        <f>H214*K214*N214*Q214*S214</f>
        <v>209440000</v>
      </c>
      <c r="U214" s="118"/>
      <c r="W214" s="6"/>
      <c r="X214" s="12"/>
    </row>
    <row r="215" spans="1:24" s="32" customFormat="1" ht="32.25" customHeight="1" x14ac:dyDescent="0.2">
      <c r="A215" s="43"/>
      <c r="B215" s="43">
        <v>3</v>
      </c>
      <c r="C215" s="178" t="s">
        <v>122</v>
      </c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10">
        <f>SUM(T216:T220)</f>
        <v>11220000</v>
      </c>
      <c r="V215" s="111"/>
    </row>
    <row r="216" spans="1:24" ht="38.5" customHeight="1" x14ac:dyDescent="0.2">
      <c r="A216" s="34"/>
      <c r="B216" s="34"/>
      <c r="C216" s="183"/>
      <c r="D216" s="112" t="s">
        <v>123</v>
      </c>
      <c r="E216" s="119"/>
      <c r="F216" s="113" t="s">
        <v>124</v>
      </c>
      <c r="G216" s="34" t="s">
        <v>19</v>
      </c>
      <c r="H216" s="63">
        <v>2</v>
      </c>
      <c r="I216" s="63" t="s">
        <v>20</v>
      </c>
      <c r="J216" s="63" t="s">
        <v>21</v>
      </c>
      <c r="K216" s="63">
        <v>1</v>
      </c>
      <c r="L216" s="63" t="s">
        <v>22</v>
      </c>
      <c r="M216" s="63" t="s">
        <v>21</v>
      </c>
      <c r="N216" s="63">
        <v>1</v>
      </c>
      <c r="O216" s="63" t="s">
        <v>125</v>
      </c>
      <c r="P216" s="63" t="s">
        <v>21</v>
      </c>
      <c r="Q216" s="63">
        <v>2</v>
      </c>
      <c r="R216" s="63" t="s">
        <v>30</v>
      </c>
      <c r="S216" s="64">
        <v>70000</v>
      </c>
      <c r="T216" s="45">
        <f>S216*Q216*N216*K216*H216</f>
        <v>280000</v>
      </c>
      <c r="U216" s="46"/>
      <c r="V216" s="11"/>
      <c r="W216" s="120"/>
      <c r="X216" s="12"/>
    </row>
    <row r="217" spans="1:24" ht="44.25" customHeight="1" x14ac:dyDescent="0.2">
      <c r="A217" s="34"/>
      <c r="B217" s="34"/>
      <c r="C217" s="183"/>
      <c r="D217" s="112"/>
      <c r="E217" s="121"/>
      <c r="F217" s="113" t="s">
        <v>126</v>
      </c>
      <c r="G217" s="34" t="s">
        <v>19</v>
      </c>
      <c r="H217" s="63">
        <v>5</v>
      </c>
      <c r="I217" s="63" t="s">
        <v>20</v>
      </c>
      <c r="J217" s="63" t="s">
        <v>21</v>
      </c>
      <c r="K217" s="63">
        <v>1</v>
      </c>
      <c r="L217" s="63" t="s">
        <v>22</v>
      </c>
      <c r="M217" s="63" t="s">
        <v>21</v>
      </c>
      <c r="N217" s="63">
        <v>2</v>
      </c>
      <c r="O217" s="63" t="s">
        <v>23</v>
      </c>
      <c r="P217" s="63" t="s">
        <v>21</v>
      </c>
      <c r="Q217" s="63">
        <v>2</v>
      </c>
      <c r="R217" s="63" t="s">
        <v>30</v>
      </c>
      <c r="S217" s="64">
        <v>70000</v>
      </c>
      <c r="T217" s="45">
        <f>S217*Q217*N217*K217*H217</f>
        <v>1400000</v>
      </c>
      <c r="U217" s="34"/>
      <c r="V217" s="12"/>
      <c r="W217" s="6"/>
      <c r="X217" s="12"/>
    </row>
    <row r="218" spans="1:24" ht="38.5" customHeight="1" x14ac:dyDescent="0.2">
      <c r="A218" s="34"/>
      <c r="B218" s="34"/>
      <c r="C218" s="183"/>
      <c r="D218" s="112"/>
      <c r="E218" s="121"/>
      <c r="F218" s="113" t="s">
        <v>127</v>
      </c>
      <c r="G218" s="34"/>
      <c r="H218" s="63">
        <v>5</v>
      </c>
      <c r="I218" s="63" t="s">
        <v>34</v>
      </c>
      <c r="J218" s="63" t="s">
        <v>117</v>
      </c>
      <c r="K218" s="63">
        <v>1</v>
      </c>
      <c r="L218" s="63" t="s">
        <v>22</v>
      </c>
      <c r="M218" s="63"/>
      <c r="N218" s="63">
        <v>3</v>
      </c>
      <c r="O218" s="63" t="s">
        <v>23</v>
      </c>
      <c r="P218" s="63" t="s">
        <v>117</v>
      </c>
      <c r="Q218" s="63">
        <v>2</v>
      </c>
      <c r="R218" s="63" t="s">
        <v>128</v>
      </c>
      <c r="S218" s="64">
        <v>150000</v>
      </c>
      <c r="T218" s="45">
        <f>S218*Q218*N218*K218*H218</f>
        <v>4500000</v>
      </c>
      <c r="U218" s="34"/>
      <c r="W218" s="6"/>
      <c r="X218" s="12"/>
    </row>
    <row r="219" spans="1:24" ht="38.5" customHeight="1" x14ac:dyDescent="0.2">
      <c r="A219" s="34"/>
      <c r="B219" s="34"/>
      <c r="C219" s="183"/>
      <c r="D219" s="34"/>
      <c r="E219" s="113"/>
      <c r="F219" s="113" t="s">
        <v>115</v>
      </c>
      <c r="G219" s="34" t="s">
        <v>19</v>
      </c>
      <c r="H219" s="63">
        <v>30</v>
      </c>
      <c r="I219" s="63" t="s">
        <v>20</v>
      </c>
      <c r="J219" s="63" t="s">
        <v>21</v>
      </c>
      <c r="K219" s="63">
        <v>1</v>
      </c>
      <c r="L219" s="63" t="s">
        <v>22</v>
      </c>
      <c r="M219" s="63" t="s">
        <v>21</v>
      </c>
      <c r="N219" s="63">
        <v>1</v>
      </c>
      <c r="O219" s="63" t="s">
        <v>125</v>
      </c>
      <c r="P219" s="63" t="s">
        <v>21</v>
      </c>
      <c r="Q219" s="63">
        <v>2</v>
      </c>
      <c r="R219" s="63" t="s">
        <v>30</v>
      </c>
      <c r="S219" s="64">
        <v>59000</v>
      </c>
      <c r="T219" s="45">
        <f>S219*Q219*N219*K219*H219</f>
        <v>3540000</v>
      </c>
      <c r="U219" s="34"/>
      <c r="W219" s="6"/>
      <c r="X219" s="12"/>
    </row>
    <row r="220" spans="1:24" ht="38.5" customHeight="1" x14ac:dyDescent="0.2">
      <c r="A220" s="34"/>
      <c r="B220" s="34"/>
      <c r="C220" s="183"/>
      <c r="D220" s="34"/>
      <c r="E220" s="113"/>
      <c r="F220" s="113" t="s">
        <v>129</v>
      </c>
      <c r="G220" s="114" t="s">
        <v>130</v>
      </c>
      <c r="H220" s="115"/>
      <c r="I220" s="115"/>
      <c r="J220" s="115"/>
      <c r="K220" s="115"/>
      <c r="L220" s="115"/>
      <c r="M220" s="115"/>
      <c r="N220" s="115">
        <v>1</v>
      </c>
      <c r="O220" s="115" t="s">
        <v>131</v>
      </c>
      <c r="P220" s="115" t="s">
        <v>21</v>
      </c>
      <c r="Q220" s="115">
        <v>2</v>
      </c>
      <c r="R220" s="115" t="s">
        <v>30</v>
      </c>
      <c r="S220" s="122">
        <v>750000</v>
      </c>
      <c r="T220" s="27">
        <f>N220*Q220*S220</f>
        <v>1500000</v>
      </c>
      <c r="U220" s="34"/>
      <c r="W220" s="6"/>
      <c r="X220" s="12"/>
    </row>
    <row r="221" spans="1:24" s="32" customFormat="1" ht="25.5" customHeight="1" x14ac:dyDescent="0.2">
      <c r="A221" s="123">
        <v>4</v>
      </c>
      <c r="B221" s="124"/>
      <c r="C221" s="125" t="s">
        <v>132</v>
      </c>
      <c r="D221" s="123"/>
      <c r="E221" s="125"/>
      <c r="F221" s="126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7">
        <f>SUM(U222,U226,U231,U233)</f>
        <v>66044000</v>
      </c>
      <c r="V221" s="128"/>
      <c r="W221" s="53"/>
      <c r="X221" s="129"/>
    </row>
    <row r="222" spans="1:24" s="32" customFormat="1" ht="23.25" customHeight="1" x14ac:dyDescent="0.2">
      <c r="A222" s="43"/>
      <c r="B222" s="43">
        <v>1</v>
      </c>
      <c r="C222" s="178" t="s">
        <v>133</v>
      </c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10">
        <f>SUM(T223:T225)</f>
        <v>19764000</v>
      </c>
      <c r="V222" s="111"/>
    </row>
    <row r="223" spans="1:24" s="137" customFormat="1" ht="32" x14ac:dyDescent="0.2">
      <c r="A223" s="51"/>
      <c r="B223" s="43"/>
      <c r="C223" s="130"/>
      <c r="D223" s="40" t="s">
        <v>134</v>
      </c>
      <c r="E223" s="131" t="s">
        <v>135</v>
      </c>
      <c r="F223" s="132" t="s">
        <v>136</v>
      </c>
      <c r="G223" s="133" t="s">
        <v>116</v>
      </c>
      <c r="H223" s="43">
        <v>3</v>
      </c>
      <c r="I223" s="43" t="s">
        <v>20</v>
      </c>
      <c r="J223" s="43" t="s">
        <v>21</v>
      </c>
      <c r="K223" s="43">
        <v>1</v>
      </c>
      <c r="L223" s="43" t="s">
        <v>22</v>
      </c>
      <c r="M223" s="43" t="s">
        <v>21</v>
      </c>
      <c r="N223" s="43">
        <v>2</v>
      </c>
      <c r="O223" s="43" t="s">
        <v>23</v>
      </c>
      <c r="P223" s="43" t="s">
        <v>21</v>
      </c>
      <c r="Q223" s="43">
        <v>12</v>
      </c>
      <c r="R223" s="43" t="s">
        <v>31</v>
      </c>
      <c r="S223" s="134">
        <v>70000</v>
      </c>
      <c r="T223" s="117">
        <f>H223*K223*N223*Q223*S223</f>
        <v>5040000</v>
      </c>
      <c r="U223" s="43"/>
      <c r="V223" s="135"/>
      <c r="W223" s="136"/>
      <c r="X223" s="136"/>
    </row>
    <row r="224" spans="1:24" s="137" customFormat="1" ht="16" x14ac:dyDescent="0.2">
      <c r="A224" s="51"/>
      <c r="B224" s="43"/>
      <c r="C224" s="130"/>
      <c r="D224" s="43"/>
      <c r="E224" s="138"/>
      <c r="F224" s="132" t="s">
        <v>137</v>
      </c>
      <c r="G224" s="133" t="s">
        <v>116</v>
      </c>
      <c r="H224" s="43">
        <v>5</v>
      </c>
      <c r="I224" s="43" t="s">
        <v>20</v>
      </c>
      <c r="J224" s="43" t="s">
        <v>21</v>
      </c>
      <c r="K224" s="43">
        <v>1</v>
      </c>
      <c r="L224" s="43" t="s">
        <v>22</v>
      </c>
      <c r="M224" s="43" t="s">
        <v>21</v>
      </c>
      <c r="N224" s="43">
        <v>3</v>
      </c>
      <c r="O224" s="43" t="s">
        <v>23</v>
      </c>
      <c r="P224" s="43" t="s">
        <v>21</v>
      </c>
      <c r="Q224" s="43">
        <v>12</v>
      </c>
      <c r="R224" s="43" t="s">
        <v>31</v>
      </c>
      <c r="S224" s="134">
        <v>70000</v>
      </c>
      <c r="T224" s="117">
        <f>H224*K224*N224*Q224*S224</f>
        <v>12600000</v>
      </c>
      <c r="U224" s="43"/>
      <c r="V224" s="135"/>
      <c r="W224" s="136"/>
      <c r="X224" s="136"/>
    </row>
    <row r="225" spans="1:25" s="32" customFormat="1" ht="20.25" customHeight="1" x14ac:dyDescent="0.2">
      <c r="A225" s="43"/>
      <c r="B225" s="43"/>
      <c r="C225" s="61"/>
      <c r="D225" s="43"/>
      <c r="E225" s="139" t="s">
        <v>138</v>
      </c>
      <c r="F225" s="140" t="s">
        <v>139</v>
      </c>
      <c r="G225" s="133" t="s">
        <v>140</v>
      </c>
      <c r="H225" s="43">
        <v>15</v>
      </c>
      <c r="I225" s="43" t="s">
        <v>20</v>
      </c>
      <c r="J225" s="43" t="s">
        <v>21</v>
      </c>
      <c r="K225" s="43">
        <v>1</v>
      </c>
      <c r="L225" s="43" t="s">
        <v>22</v>
      </c>
      <c r="M225" s="43" t="s">
        <v>21</v>
      </c>
      <c r="N225" s="43">
        <v>3</v>
      </c>
      <c r="O225" s="43" t="s">
        <v>141</v>
      </c>
      <c r="P225" s="43" t="s">
        <v>117</v>
      </c>
      <c r="Q225" s="43">
        <v>12</v>
      </c>
      <c r="R225" s="43" t="s">
        <v>31</v>
      </c>
      <c r="S225" s="134">
        <v>59000</v>
      </c>
      <c r="T225" s="117">
        <f>N225*Q225*S225</f>
        <v>2124000</v>
      </c>
      <c r="U225" s="43"/>
      <c r="V225" s="141"/>
      <c r="W225" s="142"/>
      <c r="X225" s="129"/>
      <c r="Y225" s="129"/>
    </row>
    <row r="226" spans="1:25" s="32" customFormat="1" ht="23.25" customHeight="1" x14ac:dyDescent="0.2">
      <c r="A226" s="43"/>
      <c r="B226" s="43">
        <v>2</v>
      </c>
      <c r="C226" s="178" t="s">
        <v>142</v>
      </c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10">
        <f>SUM(U227,U229)</f>
        <v>12000000</v>
      </c>
      <c r="V226" s="53"/>
    </row>
    <row r="227" spans="1:25" s="144" customFormat="1" ht="23.25" customHeight="1" x14ac:dyDescent="0.2">
      <c r="A227" s="43"/>
      <c r="B227" s="43"/>
      <c r="C227" s="180" t="s">
        <v>143</v>
      </c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43">
        <f>SUM(T228:T228)</f>
        <v>6000000</v>
      </c>
    </row>
    <row r="228" spans="1:25" s="137" customFormat="1" ht="24.75" customHeight="1" x14ac:dyDescent="0.2">
      <c r="A228" s="51"/>
      <c r="B228" s="43"/>
      <c r="C228" s="130"/>
      <c r="D228" s="40" t="s">
        <v>144</v>
      </c>
      <c r="E228" s="145" t="s">
        <v>145</v>
      </c>
      <c r="F228" s="146" t="s">
        <v>146</v>
      </c>
      <c r="G228" s="133" t="s">
        <v>140</v>
      </c>
      <c r="H228" s="43"/>
      <c r="I228" s="43"/>
      <c r="J228" s="43"/>
      <c r="K228" s="43"/>
      <c r="L228" s="43"/>
      <c r="M228" s="43"/>
      <c r="N228" s="43">
        <v>1</v>
      </c>
      <c r="O228" s="43" t="s">
        <v>140</v>
      </c>
      <c r="P228" s="43" t="s">
        <v>117</v>
      </c>
      <c r="Q228" s="43">
        <v>12</v>
      </c>
      <c r="R228" s="43" t="s">
        <v>31</v>
      </c>
      <c r="S228" s="134">
        <v>500000</v>
      </c>
      <c r="T228" s="117">
        <f>N228*Q228*S228</f>
        <v>6000000</v>
      </c>
      <c r="U228" s="43"/>
      <c r="V228" s="135"/>
      <c r="W228" s="136"/>
      <c r="X228" s="136"/>
    </row>
    <row r="229" spans="1:25" s="144" customFormat="1" ht="23.25" customHeight="1" x14ac:dyDescent="0.2">
      <c r="A229" s="43"/>
      <c r="B229" s="43"/>
      <c r="C229" s="180" t="s">
        <v>147</v>
      </c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43">
        <f>SUM(T230:T230)</f>
        <v>6000000</v>
      </c>
    </row>
    <row r="230" spans="1:25" s="151" customFormat="1" ht="48.75" customHeight="1" x14ac:dyDescent="0.2">
      <c r="A230" s="51"/>
      <c r="B230" s="43"/>
      <c r="C230" s="130"/>
      <c r="D230" s="40" t="s">
        <v>148</v>
      </c>
      <c r="E230" s="147" t="s">
        <v>149</v>
      </c>
      <c r="F230" s="148" t="s">
        <v>150</v>
      </c>
      <c r="G230" s="133" t="s">
        <v>140</v>
      </c>
      <c r="H230" s="43"/>
      <c r="I230" s="43"/>
      <c r="J230" s="43"/>
      <c r="K230" s="43"/>
      <c r="L230" s="43"/>
      <c r="M230" s="43"/>
      <c r="N230" s="43">
        <v>1</v>
      </c>
      <c r="O230" s="43" t="s">
        <v>140</v>
      </c>
      <c r="P230" s="43" t="s">
        <v>117</v>
      </c>
      <c r="Q230" s="43">
        <v>12</v>
      </c>
      <c r="R230" s="43" t="s">
        <v>31</v>
      </c>
      <c r="S230" s="134">
        <v>500000</v>
      </c>
      <c r="T230" s="117">
        <f>N230*Q230*S230</f>
        <v>6000000</v>
      </c>
      <c r="U230" s="43"/>
      <c r="V230" s="149"/>
      <c r="W230" s="150"/>
      <c r="X230" s="150"/>
    </row>
    <row r="231" spans="1:25" s="32" customFormat="1" ht="23.25" customHeight="1" x14ac:dyDescent="0.2">
      <c r="A231" s="43"/>
      <c r="B231" s="43">
        <v>3</v>
      </c>
      <c r="C231" s="178" t="s">
        <v>151</v>
      </c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10">
        <f>SUM(T232:T232)</f>
        <v>16800000</v>
      </c>
      <c r="V231" s="53"/>
    </row>
    <row r="232" spans="1:25" s="137" customFormat="1" ht="32" x14ac:dyDescent="0.2">
      <c r="A232" s="51"/>
      <c r="B232" s="43"/>
      <c r="C232" s="133" t="s">
        <v>152</v>
      </c>
      <c r="D232" s="40" t="s">
        <v>153</v>
      </c>
      <c r="E232" s="131" t="s">
        <v>135</v>
      </c>
      <c r="F232" s="132" t="s">
        <v>136</v>
      </c>
      <c r="G232" s="133" t="s">
        <v>116</v>
      </c>
      <c r="H232" s="43">
        <v>1</v>
      </c>
      <c r="I232" s="43" t="s">
        <v>20</v>
      </c>
      <c r="J232" s="43" t="s">
        <v>21</v>
      </c>
      <c r="K232" s="43">
        <v>8</v>
      </c>
      <c r="L232" s="43" t="s">
        <v>154</v>
      </c>
      <c r="M232" s="43" t="s">
        <v>21</v>
      </c>
      <c r="N232" s="43">
        <v>5</v>
      </c>
      <c r="O232" s="43" t="s">
        <v>23</v>
      </c>
      <c r="P232" s="43" t="s">
        <v>21</v>
      </c>
      <c r="Q232" s="43">
        <v>6</v>
      </c>
      <c r="R232" s="43" t="s">
        <v>31</v>
      </c>
      <c r="S232" s="134">
        <v>70000</v>
      </c>
      <c r="T232" s="117">
        <f>H232*K232*N232*Q232*S232</f>
        <v>16800000</v>
      </c>
      <c r="U232" s="43"/>
      <c r="V232" s="135"/>
      <c r="W232" s="136"/>
      <c r="X232" s="136"/>
    </row>
    <row r="233" spans="1:25" s="32" customFormat="1" ht="23.25" customHeight="1" x14ac:dyDescent="0.2">
      <c r="A233" s="43"/>
      <c r="B233" s="43">
        <v>4</v>
      </c>
      <c r="C233" s="178" t="s">
        <v>155</v>
      </c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10">
        <f>SUM(T234:T237)</f>
        <v>17480000</v>
      </c>
      <c r="V233" s="111"/>
    </row>
    <row r="234" spans="1:25" s="137" customFormat="1" ht="32" x14ac:dyDescent="0.2">
      <c r="A234" s="51"/>
      <c r="B234" s="43"/>
      <c r="C234" s="130"/>
      <c r="D234" s="40" t="s">
        <v>156</v>
      </c>
      <c r="E234" s="131" t="s">
        <v>135</v>
      </c>
      <c r="F234" s="132" t="s">
        <v>136</v>
      </c>
      <c r="G234" s="133" t="s">
        <v>116</v>
      </c>
      <c r="H234" s="43">
        <v>3</v>
      </c>
      <c r="I234" s="43" t="s">
        <v>20</v>
      </c>
      <c r="J234" s="43" t="s">
        <v>21</v>
      </c>
      <c r="K234" s="43">
        <v>1</v>
      </c>
      <c r="L234" s="43" t="s">
        <v>22</v>
      </c>
      <c r="M234" s="43" t="s">
        <v>21</v>
      </c>
      <c r="N234" s="43">
        <v>2</v>
      </c>
      <c r="O234" s="43" t="s">
        <v>23</v>
      </c>
      <c r="P234" s="43" t="s">
        <v>21</v>
      </c>
      <c r="Q234" s="43">
        <v>4</v>
      </c>
      <c r="R234" s="43" t="s">
        <v>31</v>
      </c>
      <c r="S234" s="134">
        <v>70000</v>
      </c>
      <c r="T234" s="117">
        <f>H234*K234*N234*Q234*S234</f>
        <v>1680000</v>
      </c>
      <c r="U234" s="117"/>
      <c r="V234" s="152"/>
      <c r="W234" s="136"/>
      <c r="X234" s="136"/>
    </row>
    <row r="235" spans="1:25" s="137" customFormat="1" ht="25.5" customHeight="1" x14ac:dyDescent="0.2">
      <c r="A235" s="51"/>
      <c r="B235" s="43"/>
      <c r="C235" s="138"/>
      <c r="D235" s="43"/>
      <c r="E235" s="138"/>
      <c r="F235" s="132" t="s">
        <v>157</v>
      </c>
      <c r="G235" s="133" t="s">
        <v>116</v>
      </c>
      <c r="H235" s="43">
        <v>3</v>
      </c>
      <c r="I235" s="43" t="s">
        <v>20</v>
      </c>
      <c r="J235" s="43" t="s">
        <v>21</v>
      </c>
      <c r="K235" s="43">
        <v>1</v>
      </c>
      <c r="L235" s="43" t="s">
        <v>22</v>
      </c>
      <c r="M235" s="43" t="s">
        <v>21</v>
      </c>
      <c r="N235" s="43">
        <v>3</v>
      </c>
      <c r="O235" s="43" t="s">
        <v>23</v>
      </c>
      <c r="P235" s="43" t="s">
        <v>21</v>
      </c>
      <c r="Q235" s="43">
        <v>4</v>
      </c>
      <c r="R235" s="43" t="s">
        <v>31</v>
      </c>
      <c r="S235" s="134">
        <v>70000</v>
      </c>
      <c r="T235" s="117">
        <f>H235*K235*N235*Q235*S235</f>
        <v>2520000</v>
      </c>
      <c r="U235" s="43"/>
      <c r="V235" s="135"/>
      <c r="W235" s="136"/>
      <c r="X235" s="136"/>
    </row>
    <row r="236" spans="1:25" s="32" customFormat="1" ht="20.25" customHeight="1" x14ac:dyDescent="0.2">
      <c r="A236" s="43"/>
      <c r="B236" s="43"/>
      <c r="C236" s="61"/>
      <c r="D236" s="43"/>
      <c r="E236" s="139" t="s">
        <v>138</v>
      </c>
      <c r="F236" s="140" t="s">
        <v>139</v>
      </c>
      <c r="G236" s="133" t="s">
        <v>140</v>
      </c>
      <c r="H236" s="43">
        <v>8</v>
      </c>
      <c r="I236" s="43" t="s">
        <v>141</v>
      </c>
      <c r="J236" s="43"/>
      <c r="K236" s="43">
        <v>1</v>
      </c>
      <c r="L236" s="43" t="s">
        <v>22</v>
      </c>
      <c r="M236" s="43"/>
      <c r="N236" s="43">
        <v>5</v>
      </c>
      <c r="O236" s="43" t="s">
        <v>158</v>
      </c>
      <c r="P236" s="43" t="s">
        <v>117</v>
      </c>
      <c r="Q236" s="43">
        <v>4</v>
      </c>
      <c r="R236" s="43" t="s">
        <v>31</v>
      </c>
      <c r="S236" s="134">
        <v>59000</v>
      </c>
      <c r="T236" s="117">
        <f>H236*K236*N236*Q236*S236</f>
        <v>9440000</v>
      </c>
      <c r="U236" s="117"/>
      <c r="W236" s="142"/>
      <c r="X236" s="129"/>
      <c r="Y236" s="129"/>
    </row>
    <row r="237" spans="1:25" s="32" customFormat="1" ht="20.25" customHeight="1" x14ac:dyDescent="0.2">
      <c r="A237" s="43"/>
      <c r="B237" s="43"/>
      <c r="C237" s="61"/>
      <c r="D237" s="43"/>
      <c r="E237" s="139"/>
      <c r="F237" s="140" t="s">
        <v>159</v>
      </c>
      <c r="G237" s="133" t="s">
        <v>140</v>
      </c>
      <c r="H237" s="43">
        <v>8</v>
      </c>
      <c r="I237" s="43" t="s">
        <v>141</v>
      </c>
      <c r="J237" s="43"/>
      <c r="K237" s="43">
        <v>1</v>
      </c>
      <c r="L237" s="43" t="s">
        <v>22</v>
      </c>
      <c r="M237" s="43"/>
      <c r="N237" s="43">
        <v>5</v>
      </c>
      <c r="O237" s="43" t="s">
        <v>158</v>
      </c>
      <c r="P237" s="43" t="s">
        <v>117</v>
      </c>
      <c r="Q237" s="43">
        <v>4</v>
      </c>
      <c r="R237" s="43" t="s">
        <v>31</v>
      </c>
      <c r="S237" s="134">
        <v>24000</v>
      </c>
      <c r="T237" s="117">
        <f>H237*K237*N237*Q237*S237</f>
        <v>3840000</v>
      </c>
      <c r="U237" s="43"/>
      <c r="W237" s="142"/>
      <c r="X237" s="129"/>
      <c r="Y237" s="129"/>
    </row>
    <row r="238" spans="1:25" s="156" customFormat="1" ht="21.75" customHeight="1" x14ac:dyDescent="0.2">
      <c r="A238" s="153">
        <v>5</v>
      </c>
      <c r="B238" s="154"/>
      <c r="C238" s="179" t="s">
        <v>160</v>
      </c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55">
        <f>T240</f>
        <v>82818960</v>
      </c>
      <c r="V238" s="5"/>
      <c r="W238" s="12"/>
    </row>
    <row r="239" spans="1:25" s="156" customFormat="1" ht="29" customHeight="1" x14ac:dyDescent="0.2">
      <c r="A239" s="157"/>
      <c r="B239" s="158"/>
      <c r="C239" s="180" t="s">
        <v>161</v>
      </c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59"/>
      <c r="W239" s="12"/>
    </row>
    <row r="240" spans="1:25" s="156" customFormat="1" ht="24" customHeight="1" x14ac:dyDescent="0.2">
      <c r="A240" s="158"/>
      <c r="B240" s="158"/>
      <c r="C240" s="160"/>
      <c r="D240" s="158"/>
      <c r="E240" s="161"/>
      <c r="F240" s="162" t="s">
        <v>162</v>
      </c>
      <c r="G240" s="163"/>
      <c r="H240" s="43"/>
      <c r="I240" s="43"/>
      <c r="J240" s="43"/>
      <c r="K240" s="43">
        <v>14</v>
      </c>
      <c r="L240" s="43" t="s">
        <v>20</v>
      </c>
      <c r="M240" s="43" t="s">
        <v>21</v>
      </c>
      <c r="N240" s="43">
        <v>1</v>
      </c>
      <c r="O240" s="43" t="s">
        <v>128</v>
      </c>
      <c r="P240" s="43" t="s">
        <v>21</v>
      </c>
      <c r="Q240" s="43">
        <v>12</v>
      </c>
      <c r="R240" s="43" t="s">
        <v>163</v>
      </c>
      <c r="S240" s="44">
        <v>492970</v>
      </c>
      <c r="T240" s="164">
        <f>K240*N240*Q240*S240</f>
        <v>82818960</v>
      </c>
      <c r="U240" s="158"/>
      <c r="W240" s="12"/>
    </row>
    <row r="241" spans="1:23" s="37" customFormat="1" ht="21" customHeight="1" x14ac:dyDescent="0.2">
      <c r="A241" s="33"/>
      <c r="B241" s="34"/>
      <c r="C241" s="165"/>
      <c r="D241" s="166"/>
      <c r="E241" s="165"/>
      <c r="F241" s="42"/>
      <c r="G241" s="34"/>
      <c r="H241" s="51"/>
      <c r="I241" s="51"/>
      <c r="J241" s="51"/>
      <c r="K241" s="43"/>
      <c r="L241" s="43"/>
      <c r="M241" s="43"/>
      <c r="N241" s="43"/>
      <c r="O241" s="43"/>
      <c r="P241" s="43"/>
      <c r="Q241" s="43"/>
      <c r="R241" s="43"/>
      <c r="S241" s="44"/>
      <c r="T241" s="45"/>
      <c r="U241" s="46"/>
      <c r="W241" s="36"/>
    </row>
    <row r="242" spans="1:23" ht="18" x14ac:dyDescent="0.2">
      <c r="A242" s="167"/>
      <c r="B242" s="167"/>
      <c r="C242" s="218" t="s">
        <v>215</v>
      </c>
      <c r="D242" s="167"/>
      <c r="E242" s="168"/>
      <c r="F242" s="169"/>
      <c r="G242" s="167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81"/>
      <c r="T242" s="181"/>
      <c r="U242" s="181"/>
    </row>
    <row r="243" spans="1:23" ht="16" x14ac:dyDescent="0.2">
      <c r="A243" s="167"/>
      <c r="B243" s="167"/>
      <c r="C243" s="182"/>
      <c r="D243" s="182"/>
      <c r="E243" s="182"/>
      <c r="F243" s="169"/>
      <c r="G243" s="167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71"/>
      <c r="T243" s="171"/>
      <c r="U243" s="170"/>
    </row>
    <row r="244" spans="1:23" ht="16" x14ac:dyDescent="0.2">
      <c r="A244" s="167"/>
      <c r="B244" s="167"/>
      <c r="C244" s="168" t="s">
        <v>164</v>
      </c>
      <c r="D244" s="167"/>
      <c r="E244" s="168"/>
      <c r="F244" s="169"/>
      <c r="G244" s="167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81"/>
      <c r="T244" s="181"/>
      <c r="U244" s="181"/>
    </row>
    <row r="245" spans="1:23" ht="16" x14ac:dyDescent="0.2">
      <c r="A245" s="167"/>
      <c r="B245" s="167"/>
      <c r="C245" s="168" t="s">
        <v>165</v>
      </c>
      <c r="D245" s="167"/>
      <c r="E245" s="168"/>
      <c r="F245" s="169"/>
      <c r="G245" s="167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71"/>
      <c r="T245" s="171"/>
      <c r="U245" s="170"/>
    </row>
    <row r="246" spans="1:23" ht="16" x14ac:dyDescent="0.2">
      <c r="A246" s="167"/>
      <c r="B246" s="167"/>
      <c r="C246" s="168"/>
      <c r="D246" s="167"/>
      <c r="E246" s="168"/>
      <c r="F246" s="169"/>
      <c r="G246" s="167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71"/>
      <c r="T246" s="171"/>
      <c r="U246" s="170"/>
    </row>
    <row r="247" spans="1:23" ht="16" x14ac:dyDescent="0.2">
      <c r="A247" s="167"/>
      <c r="B247" s="167"/>
      <c r="C247" s="168"/>
      <c r="D247" s="167"/>
      <c r="E247" s="168"/>
      <c r="F247" s="169"/>
      <c r="G247" s="167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71"/>
      <c r="T247" s="171"/>
      <c r="U247" s="170"/>
    </row>
    <row r="248" spans="1:23" ht="16" x14ac:dyDescent="0.2">
      <c r="A248" s="167"/>
      <c r="B248" s="167"/>
      <c r="C248" s="168"/>
      <c r="D248" s="167"/>
      <c r="E248" s="168"/>
      <c r="F248" s="169"/>
      <c r="G248" s="167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71"/>
      <c r="T248" s="171"/>
      <c r="U248" s="170"/>
    </row>
    <row r="249" spans="1:23" ht="16" x14ac:dyDescent="0.2">
      <c r="A249" s="167"/>
      <c r="B249" s="167"/>
      <c r="C249" s="172" t="s">
        <v>166</v>
      </c>
      <c r="D249" s="167"/>
      <c r="E249" s="168"/>
      <c r="F249" s="169"/>
      <c r="G249" s="167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73"/>
      <c r="T249" s="171"/>
      <c r="U249" s="170"/>
    </row>
    <row r="250" spans="1:23" x14ac:dyDescent="0.2">
      <c r="A250" s="167"/>
      <c r="B250" s="167"/>
      <c r="C250" s="174" t="s">
        <v>167</v>
      </c>
      <c r="D250" s="167"/>
      <c r="E250" s="168"/>
      <c r="F250" s="169"/>
      <c r="G250" s="167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67"/>
    </row>
  </sheetData>
  <autoFilter ref="A1:A63" xr:uid="{00000000-0009-0000-0000-000000000000}"/>
  <mergeCells count="88">
    <mergeCell ref="C10:T10"/>
    <mergeCell ref="A1:U1"/>
    <mergeCell ref="A2:U2"/>
    <mergeCell ref="A3:U3"/>
    <mergeCell ref="A4:U4"/>
    <mergeCell ref="A6:T6"/>
    <mergeCell ref="A7:B8"/>
    <mergeCell ref="C7:C8"/>
    <mergeCell ref="D7:E7"/>
    <mergeCell ref="F7:F8"/>
    <mergeCell ref="G7:G8"/>
    <mergeCell ref="H7:R8"/>
    <mergeCell ref="S7:S8"/>
    <mergeCell ref="T7:T8"/>
    <mergeCell ref="U7:U8"/>
    <mergeCell ref="A9:T9"/>
    <mergeCell ref="C47:T47"/>
    <mergeCell ref="C11:T11"/>
    <mergeCell ref="C12:T12"/>
    <mergeCell ref="C17:T17"/>
    <mergeCell ref="C18:T18"/>
    <mergeCell ref="C23:T23"/>
    <mergeCell ref="C24:T24"/>
    <mergeCell ref="C29:T29"/>
    <mergeCell ref="C34:T34"/>
    <mergeCell ref="C35:T35"/>
    <mergeCell ref="C39:T39"/>
    <mergeCell ref="C43:T43"/>
    <mergeCell ref="C86:T86"/>
    <mergeCell ref="C48:C49"/>
    <mergeCell ref="C51:T51"/>
    <mergeCell ref="C52:T52"/>
    <mergeCell ref="C56:T56"/>
    <mergeCell ref="C60:T60"/>
    <mergeCell ref="C65:T65"/>
    <mergeCell ref="C66:T66"/>
    <mergeCell ref="C70:T70"/>
    <mergeCell ref="C74:T74"/>
    <mergeCell ref="C78:T78"/>
    <mergeCell ref="C82:T82"/>
    <mergeCell ref="C129:T129"/>
    <mergeCell ref="C90:T90"/>
    <mergeCell ref="C91:T91"/>
    <mergeCell ref="C96:T96"/>
    <mergeCell ref="C100:T100"/>
    <mergeCell ref="C104:T104"/>
    <mergeCell ref="C109:T109"/>
    <mergeCell ref="C110:T110"/>
    <mergeCell ref="C114:T114"/>
    <mergeCell ref="C118:T118"/>
    <mergeCell ref="C119:T119"/>
    <mergeCell ref="C124:T124"/>
    <mergeCell ref="C182:T182"/>
    <mergeCell ref="C134:T134"/>
    <mergeCell ref="C140:T140"/>
    <mergeCell ref="C145:T145"/>
    <mergeCell ref="C150:T150"/>
    <mergeCell ref="C155:T155"/>
    <mergeCell ref="C160:T160"/>
    <mergeCell ref="C161:T161"/>
    <mergeCell ref="C166:T166"/>
    <mergeCell ref="C171:T171"/>
    <mergeCell ref="C176:T176"/>
    <mergeCell ref="C181:T181"/>
    <mergeCell ref="C215:T215"/>
    <mergeCell ref="C187:T187"/>
    <mergeCell ref="C191:T191"/>
    <mergeCell ref="C192:T192"/>
    <mergeCell ref="C196:T196"/>
    <mergeCell ref="C200:T200"/>
    <mergeCell ref="C201:T201"/>
    <mergeCell ref="C205:T205"/>
    <mergeCell ref="C206:T206"/>
    <mergeCell ref="C210:T210"/>
    <mergeCell ref="C211:T211"/>
    <mergeCell ref="C213:T213"/>
    <mergeCell ref="S244:U244"/>
    <mergeCell ref="C216:C220"/>
    <mergeCell ref="C222:T222"/>
    <mergeCell ref="C226:T226"/>
    <mergeCell ref="C227:T227"/>
    <mergeCell ref="C229:T229"/>
    <mergeCell ref="C231:T231"/>
    <mergeCell ref="C233:T233"/>
    <mergeCell ref="C238:T238"/>
    <mergeCell ref="C239:T239"/>
    <mergeCell ref="S242:U242"/>
    <mergeCell ref="C243:E243"/>
  </mergeCells>
  <pageMargins left="0.9055118110236221" right="0.70866141732283472" top="0.74803149606299213" bottom="0.74803149606299213" header="0.31496062992125984" footer="0.31496062992125984"/>
  <pageSetup paperSize="9" scale="16" orientation="landscape" r:id="rId1"/>
  <colBreaks count="2" manualBreakCount="2">
    <brk id="21" max="4417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 2026</vt:lpstr>
      <vt:lpstr>'RAB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cindyl4tusanay</dc:creator>
  <cp:lastModifiedBy>cindyl4tusanay</cp:lastModifiedBy>
  <dcterms:created xsi:type="dcterms:W3CDTF">2025-10-15T09:38:23Z</dcterms:created>
  <dcterms:modified xsi:type="dcterms:W3CDTF">2025-10-15T10:14:34Z</dcterms:modified>
</cp:coreProperties>
</file>