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kenazter/Documents/Thoken File/Project/2025/test/bokbaru/resources/templates/"/>
    </mc:Choice>
  </mc:AlternateContent>
  <xr:revisionPtr revIDLastSave="0" documentId="13_ncr:1_{3860B180-15EA-F94F-B325-0095C196AC83}" xr6:coauthVersionLast="47" xr6:coauthVersionMax="47" xr10:uidLastSave="{00000000-0000-0000-0000-000000000000}"/>
  <bookViews>
    <workbookView xWindow="0" yWindow="680" windowWidth="29400" windowHeight="16500" xr2:uid="{7C8131AD-D528-674C-BEA4-CC40801F1D7E}"/>
  </bookViews>
  <sheets>
    <sheet name="workbook" sheetId="2" r:id="rId1"/>
  </sheets>
  <externalReferences>
    <externalReference r:id="rId2"/>
    <externalReference r:id="rId3"/>
  </externalReferences>
  <definedNames>
    <definedName name="_xlnm._FilterDatabase" localSheetId="0" hidden="1">workbook!$A$1:$A$16</definedName>
    <definedName name="_xlnm._FilterDatabase" hidden="1">#REF!</definedName>
    <definedName name="BPJS" localSheetId="0">[1]BKU!#REF!</definedName>
    <definedName name="BPJS">[1]BKU!#REF!</definedName>
    <definedName name="ER" localSheetId="0">#REF!</definedName>
    <definedName name="ER">#REF!</definedName>
    <definedName name="ERT" localSheetId="0">#REF!</definedName>
    <definedName name="ERT">#REF!</definedName>
    <definedName name="jabutama" localSheetId="0">#REF!</definedName>
    <definedName name="jabutama">#REF!</definedName>
    <definedName name="jmljabatan" localSheetId="0">#REF!</definedName>
    <definedName name="jmljabatan">#REF!</definedName>
    <definedName name="nominal">[2]kwitansi!$I$21</definedName>
    <definedName name="P2P" localSheetId="0">#REF!</definedName>
    <definedName name="P2P">#REF!</definedName>
    <definedName name="pendidikan" localSheetId="0">#REF!</definedName>
    <definedName name="pendidikan">#REF!</definedName>
    <definedName name="PMT">#REF!</definedName>
    <definedName name="_xlnm.Print_Area" localSheetId="0">workbook!$A$1:$U$27</definedName>
    <definedName name="_xlnm.Print_Titles" localSheetId="0">#REF!</definedName>
    <definedName name="_xlnm.Print_Titles">#REF!</definedName>
    <definedName name="Q" localSheetId="0">#REF!</definedName>
    <definedName name="Q">#REF!</definedName>
    <definedName name="RKA">#REF!</definedName>
    <definedName name="Rp" localSheetId="0">#REF!</definedName>
    <definedName name="R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2" l="1"/>
  <c r="U11" i="2" l="1"/>
  <c r="U10" i="2" s="1"/>
  <c r="U9" i="2" s="1"/>
  <c r="X9" i="2" l="1"/>
</calcChain>
</file>

<file path=xl/sharedStrings.xml><?xml version="1.0" encoding="utf-8"?>
<sst xmlns="http://schemas.openxmlformats.org/spreadsheetml/2006/main" count="88" uniqueCount="74">
  <si>
    <t>RENCANA ANGGARAN  BIAYA (RAB)</t>
  </si>
  <si>
    <t>BANTUAN OPERASIONAL KESEHATAN PUSKESMAS</t>
  </si>
  <si>
    <t>DANA ALOKASI KHUSUS NONFISIK BIDANG KESEHATAN TA 2026</t>
  </si>
  <si>
    <t>KABUPATEN KEPULAUAN ARU</t>
  </si>
  <si>
    <t>PAGU INDIKATIF</t>
  </si>
  <si>
    <t>NO</t>
  </si>
  <si>
    <t>KOMPONEN RINCIAN MENU KEGIATAN</t>
  </si>
  <si>
    <t>KOMPONEN PEMBIAYAAN</t>
  </si>
  <si>
    <t>URAIAN KOMPONEN</t>
  </si>
  <si>
    <t>SATUAN</t>
  </si>
  <si>
    <t>HARGA SATUAN</t>
  </si>
  <si>
    <t>SUB TOTAL</t>
  </si>
  <si>
    <t>JUMLAH TOTAL</t>
  </si>
  <si>
    <t>KODE KRISNA</t>
  </si>
  <si>
    <t>DETAIL</t>
  </si>
  <si>
    <t>Jumlah Total Kebutuhan Anggaran</t>
  </si>
  <si>
    <t>Org/Hr/Desa</t>
  </si>
  <si>
    <t>X</t>
  </si>
  <si>
    <t>lbr</t>
  </si>
  <si>
    <t>0rg</t>
  </si>
  <si>
    <t>kali</t>
  </si>
  <si>
    <t>06.03.02.01</t>
  </si>
  <si>
    <t>Belanja Perjalanan Dinas Dalam Daerah</t>
  </si>
  <si>
    <t>Mengetahui</t>
  </si>
  <si>
    <t>Kepala Dinas Kesehatan</t>
  </si>
  <si>
    <t>dr SAKTI ZAKARIA SITORUS</t>
  </si>
  <si>
    <t>NIP. 19760724 200604 1 010</t>
  </si>
  <si>
    <t>- Pengadaan</t>
  </si>
  <si>
    <t>[[KOMPONEN]]</t>
  </si>
  <si>
    <t>[[RINCIAN_MENU]]</t>
  </si>
  <si>
    <t>[[KEGIATAN]]</t>
  </si>
  <si>
    <t>[[TOTAL]]</t>
  </si>
  <si>
    <t>[[ITEM1_LABEL]]</t>
  </si>
  <si>
    <t>[[ITEM1_SUBTOTAL]]</t>
  </si>
  <si>
    <t>[[ITEM1_UNIT_PRICE]]</t>
  </si>
  <si>
    <t>[[ITEM1_FACTOR1_LABEL]]</t>
  </si>
  <si>
    <t>[[ITEM1_FACTOR1_VALUE]]</t>
  </si>
  <si>
    <t>[[ITEM1_FACTOR2_VALUE]]</t>
  </si>
  <si>
    <t>[[ITEM1_FACTOR2_LABEL]]</t>
  </si>
  <si>
    <t>[[ITEM1_FACTOR3_VALUE]]</t>
  </si>
  <si>
    <t>[[ITEM1_FACTOR3_LABEL]]</t>
  </si>
  <si>
    <t>[[ITEM1_FACTOR4_VALUE]]</t>
  </si>
  <si>
    <t>[[ITEM1_FACTOR4_LABEL]]</t>
  </si>
  <si>
    <t>[[ITEM2_LABEL]]</t>
  </si>
  <si>
    <t>[[ITEM2_SUBTOTAL]]</t>
  </si>
  <si>
    <t>[[ITEM2_UNIT_PRICE]]</t>
  </si>
  <si>
    <t>[[ITEM2_FACTOR4_LABEL]]</t>
  </si>
  <si>
    <t>[[ITEM2_FACTOR4_VALUE]]</t>
  </si>
  <si>
    <t>[[ITEM2_FACTOR3_LABEL]]</t>
  </si>
  <si>
    <t>[[ITEM2_FACTOR3_VALUE]]</t>
  </si>
  <si>
    <t>[[ITEM2_FACTOR2_LABEL]]</t>
  </si>
  <si>
    <t>[[ITEM2_FACTOR2_VALUE]]</t>
  </si>
  <si>
    <t>[[ITEM2_FACTOR1_LABEL]]</t>
  </si>
  <si>
    <t>[[ITEM2_FACTOR1_VALUE]]</t>
  </si>
  <si>
    <t>[[ITEM3_LABEL]]</t>
  </si>
  <si>
    <t>[[ITEM3_FACTOR1_VALUE]]</t>
  </si>
  <si>
    <t>[[ITEM3_FACTOR1_LABEL]]</t>
  </si>
  <si>
    <t>[[ITEM3_FACTOR2_VALUE]]</t>
  </si>
  <si>
    <t>[[ITEM3_FACTOR2_LABEL]]</t>
  </si>
  <si>
    <t>[[ITEM3_FACTOR3_VALUE]]</t>
  </si>
  <si>
    <t>[[ITEM3_FACTOR3_LABEL]]</t>
  </si>
  <si>
    <t>[[ITEM3_FACTOR4_VALUE]]</t>
  </si>
  <si>
    <t>[[ITEM3_FACTOR4_LABEL]]</t>
  </si>
  <si>
    <t>[[ITEM3_UNIT_PRICE]]</t>
  </si>
  <si>
    <t>[[ITEM3_SUBTOTAL]]</t>
  </si>
  <si>
    <t>[[ITEM4_LABEL]]</t>
  </si>
  <si>
    <t>[[ITEM4_FACTOR1_VALUE]]</t>
  </si>
  <si>
    <t>[[ITEM4_FACTOR1_LABEL]]</t>
  </si>
  <si>
    <t>[[ITEM4_FACTOR2_VALUE]]</t>
  </si>
  <si>
    <t>[[ITEM4_FACTOR2_LABEL]]</t>
  </si>
  <si>
    <t>[[ITEM4_FACTOR3_VALUE]]</t>
  </si>
  <si>
    <t>[[ITEM4_FACTOR3_LABEL]]</t>
  </si>
  <si>
    <t>[[ITEM4_UNIT_PRICE]]</t>
  </si>
  <si>
    <t>[[ITEM4_SUBTOTAL]]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</si>
</sst>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</font>
    <font>
      <sz val="12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b/>
      <sz val="16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B9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8" fillId="0" borderId="0">
      <alignment vertical="center"/>
    </xf>
    <xf numFmtId="0" fontId="7" fillId="0" borderId="0"/>
  </cellStyleXfs>
  <cellXfs count="62">
    <xf numFmtId="0" fontId="0" fillId="0" borderId="0" xfId="0"/>
    <xf numFmtId="0" fontId="5" fillId="0" borderId="0" xfId="0" applyFont="1"/>
    <xf numFmtId="164" fontId="0" fillId="0" borderId="0" xfId="1" applyFont="1"/>
    <xf numFmtId="164" fontId="0" fillId="3" borderId="0" xfId="0" applyNumberFormat="1" applyFill="1"/>
    <xf numFmtId="164" fontId="5" fillId="0" borderId="0" xfId="0" applyNumberFormat="1" applyFont="1"/>
    <xf numFmtId="164" fontId="0" fillId="0" borderId="0" xfId="0" applyNumberFormat="1"/>
    <xf numFmtId="164" fontId="0" fillId="6" borderId="0" xfId="0" applyNumberFormat="1" applyFill="1"/>
    <xf numFmtId="0" fontId="0" fillId="6" borderId="0" xfId="0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quotePrefix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4" fillId="6" borderId="0" xfId="1" applyFont="1" applyFill="1" applyBorder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/>
    </xf>
    <xf numFmtId="0" fontId="14" fillId="6" borderId="1" xfId="2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64" fontId="14" fillId="6" borderId="1" xfId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49" fontId="12" fillId="6" borderId="1" xfId="0" quotePrefix="1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2" fillId="3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</cellXfs>
  <cellStyles count="5">
    <cellStyle name="Comma [0]" xfId="1" builtinId="6"/>
    <cellStyle name="Normal" xfId="0" builtinId="0"/>
    <cellStyle name="Normal 2" xfId="2" xr:uid="{91544593-CC1D-7042-9F73-F14458ED7EBE}"/>
    <cellStyle name="Normal 2 2" xfId="3" xr:uid="{8DF6A88A-1152-A64E-889B-076D70B88B34}"/>
    <cellStyle name="Normal 2 3" xfId="4" xr:uid="{CDBF4450-F62C-894E-9827-7CB5DAC46E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SKESMAS%20SIWA%205/KAPUS/2018/BOK/POA%20ok%202018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SIP%20BOK/ARSIP%20BOK%202022/Insentif%20UKM/Realisasi/LAPORAN%20JKN%202015/LAPORAN%20JKN/DAFTAR%20BAYAR%202015/devi/My%20Documents/My%20Documents/Gufr@n/Rapel/kwitans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STA"/>
      <sheetName val="LANSIA (5)"/>
      <sheetName val="ESORGA"/>
      <sheetName val="KESKER"/>
      <sheetName val="PTM"/>
      <sheetName val="LANSIA"/>
      <sheetName val="PROMKES"/>
      <sheetName val="KESLING"/>
      <sheetName val="UKS"/>
      <sheetName val="TB"/>
      <sheetName val="GIZI"/>
      <sheetName val="KIA"/>
      <sheetName val="Malaria"/>
      <sheetName val="Realisasi umum"/>
      <sheetName val="II"/>
      <sheetName val="III"/>
      <sheetName val="Cover"/>
      <sheetName val="RAB PIS -PK"/>
      <sheetName val="IMUNISASI"/>
      <sheetName val="IMUNISASI (2)"/>
      <sheetName val="sisa"/>
      <sheetName val="IV"/>
      <sheetName val="V"/>
      <sheetName val="VI"/>
      <sheetName val="VII"/>
      <sheetName val="Master POA Fix"/>
      <sheetName val="Master Revisi Nov"/>
      <sheetName val="sk"/>
      <sheetName val="hit"/>
      <sheetName val="VIII"/>
      <sheetName val="IX"/>
      <sheetName val="RINCIAN REALISASI-B"/>
      <sheetName val="RINCIAN DANA - B"/>
      <sheetName val="RBA"/>
      <sheetName val="I"/>
      <sheetName val="X"/>
      <sheetName val="XI"/>
      <sheetName val="XII"/>
      <sheetName val="RINCIAN DANA-A"/>
      <sheetName val="RINCIAN REALISASI-A"/>
      <sheetName val="REALISASI"/>
      <sheetName val="RUKSL REVisi (2)"/>
      <sheetName val="Cover Master"/>
      <sheetName val="BKU"/>
      <sheetName val="KOP BKU"/>
      <sheetName val="Sheet4"/>
      <sheetName val="Master POA"/>
      <sheetName val="Sheet1"/>
      <sheetName val="RBA rev 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kwitansi"/>
      <sheetName val="proses"/>
    </sheetNames>
    <sheetDataSet>
      <sheetData sheetId="0" refreshError="1"/>
      <sheetData sheetId="1">
        <row r="21">
          <cell r="I21">
            <v>14785412365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3C0B-2BC9-A042-850D-689141D6709D}">
  <sheetPr>
    <tabColor rgb="FF00B0F0"/>
  </sheetPr>
  <dimension ref="A1:X27"/>
  <sheetViews>
    <sheetView tabSelected="1" view="pageBreakPreview" zoomScale="90" zoomScaleNormal="91" zoomScaleSheetLayoutView="65" workbookViewId="0">
      <selection activeCell="F15" sqref="F15"/>
    </sheetView>
  </sheetViews>
  <sheetFormatPr baseColWidth="10" defaultColWidth="8.83203125" defaultRowHeight="15" x14ac:dyDescent="0.2"/>
  <cols>
    <col min="1" max="1" width="5.1640625" style="9" customWidth="1"/>
    <col min="2" max="2" width="4.1640625" style="9" customWidth="1"/>
    <col min="3" max="3" width="29.5" customWidth="1"/>
    <col min="4" max="4" width="15.83203125" style="9" customWidth="1"/>
    <col min="5" max="5" width="23" customWidth="1"/>
    <col min="6" max="6" width="34" style="10" customWidth="1"/>
    <col min="7" max="7" width="17.33203125" style="9" customWidth="1"/>
    <col min="8" max="8" width="6.1640625" style="11" customWidth="1"/>
    <col min="9" max="9" width="4.5" style="11" customWidth="1"/>
    <col min="10" max="10" width="2.5" style="11" customWidth="1"/>
    <col min="11" max="12" width="4.5" style="11" customWidth="1"/>
    <col min="13" max="13" width="2.5" style="11" customWidth="1"/>
    <col min="14" max="14" width="6.5" style="11" customWidth="1"/>
    <col min="15" max="15" width="9.1640625" style="11" customWidth="1"/>
    <col min="16" max="16" width="2.5" style="11" customWidth="1"/>
    <col min="17" max="17" width="5.5" style="11" customWidth="1"/>
    <col min="18" max="18" width="10.5" style="11" customWidth="1"/>
    <col min="19" max="19" width="13.83203125" style="11" customWidth="1"/>
    <col min="20" max="20" width="18.6640625" style="11" customWidth="1"/>
    <col min="21" max="21" width="20.5" style="9" customWidth="1"/>
    <col min="22" max="22" width="16.5" customWidth="1"/>
    <col min="23" max="23" width="19.5" customWidth="1"/>
    <col min="24" max="24" width="18.5" customWidth="1"/>
  </cols>
  <sheetData>
    <row r="1" spans="1:24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4" x14ac:dyDescent="0.2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4" x14ac:dyDescent="0.2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spans="1:24" x14ac:dyDescent="0.2">
      <c r="A4" s="57" t="s">
        <v>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</row>
    <row r="6" spans="1:24" ht="16" x14ac:dyDescent="0.2">
      <c r="A6" s="58" t="s">
        <v>4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27">
        <v>1077137000</v>
      </c>
    </row>
    <row r="7" spans="1:24" ht="26.25" customHeight="1" x14ac:dyDescent="0.2">
      <c r="A7" s="61" t="s">
        <v>5</v>
      </c>
      <c r="B7" s="61"/>
      <c r="C7" s="60" t="s">
        <v>6</v>
      </c>
      <c r="D7" s="60" t="s">
        <v>7</v>
      </c>
      <c r="E7" s="60"/>
      <c r="F7" s="60" t="s">
        <v>8</v>
      </c>
      <c r="G7" s="60" t="s">
        <v>9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 t="s">
        <v>10</v>
      </c>
      <c r="T7" s="59" t="s">
        <v>11</v>
      </c>
      <c r="U7" s="60" t="s">
        <v>12</v>
      </c>
    </row>
    <row r="8" spans="1:24" ht="17" x14ac:dyDescent="0.2">
      <c r="A8" s="61"/>
      <c r="B8" s="61"/>
      <c r="C8" s="60"/>
      <c r="D8" s="44" t="s">
        <v>13</v>
      </c>
      <c r="E8" s="43" t="s">
        <v>14</v>
      </c>
      <c r="F8" s="60"/>
      <c r="G8" s="60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60"/>
    </row>
    <row r="9" spans="1:24" ht="26" customHeight="1" x14ac:dyDescent="0.2">
      <c r="A9" s="49" t="s">
        <v>15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28">
        <f>U10</f>
        <v>0</v>
      </c>
      <c r="V9" s="1"/>
      <c r="W9" s="2"/>
      <c r="X9" s="3">
        <f>V9-U9</f>
        <v>0</v>
      </c>
    </row>
    <row r="10" spans="1:24" ht="41.5" customHeight="1" x14ac:dyDescent="0.2">
      <c r="A10" s="55">
        <v>1</v>
      </c>
      <c r="B10" s="56"/>
      <c r="C10" s="54" t="s">
        <v>28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29">
        <f>U11</f>
        <v>0</v>
      </c>
      <c r="V10" s="4"/>
      <c r="W10" s="5"/>
    </row>
    <row r="11" spans="1:24" s="7" customFormat="1" ht="31.5" customHeight="1" x14ac:dyDescent="0.2">
      <c r="A11" s="30"/>
      <c r="B11" s="31">
        <v>1</v>
      </c>
      <c r="C11" s="53" t="s">
        <v>29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32">
        <f>SUM(U12:U16)</f>
        <v>0</v>
      </c>
      <c r="V11" s="6"/>
      <c r="W11" s="6"/>
    </row>
    <row r="12" spans="1:24" s="7" customFormat="1" ht="29.5" customHeight="1" x14ac:dyDescent="0.2">
      <c r="A12" s="30"/>
      <c r="B12" s="31"/>
      <c r="C12" s="52" t="s">
        <v>30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33" t="s">
        <v>31</v>
      </c>
      <c r="W12" s="6"/>
    </row>
    <row r="13" spans="1:24" s="7" customFormat="1" ht="35" customHeight="1" x14ac:dyDescent="0.2">
      <c r="A13" s="30"/>
      <c r="B13" s="31"/>
      <c r="C13" s="34"/>
      <c r="D13" s="35" t="s">
        <v>21</v>
      </c>
      <c r="E13" s="36" t="s">
        <v>22</v>
      </c>
      <c r="F13" s="48" t="s">
        <v>32</v>
      </c>
      <c r="G13" s="31" t="s">
        <v>16</v>
      </c>
      <c r="H13" s="37" t="s">
        <v>36</v>
      </c>
      <c r="I13" s="37" t="s">
        <v>35</v>
      </c>
      <c r="J13" s="37" t="s">
        <v>17</v>
      </c>
      <c r="K13" s="37" t="s">
        <v>37</v>
      </c>
      <c r="L13" s="37" t="s">
        <v>38</v>
      </c>
      <c r="M13" s="37" t="s">
        <v>17</v>
      </c>
      <c r="N13" s="37" t="s">
        <v>39</v>
      </c>
      <c r="O13" s="37" t="s">
        <v>40</v>
      </c>
      <c r="P13" s="37" t="s">
        <v>17</v>
      </c>
      <c r="Q13" s="37" t="s">
        <v>41</v>
      </c>
      <c r="R13" s="37" t="s">
        <v>42</v>
      </c>
      <c r="S13" s="45" t="s">
        <v>34</v>
      </c>
      <c r="T13" s="46" t="s">
        <v>33</v>
      </c>
      <c r="U13" s="38"/>
      <c r="W13" s="6"/>
    </row>
    <row r="14" spans="1:24" s="7" customFormat="1" ht="35" customHeight="1" x14ac:dyDescent="0.2">
      <c r="A14" s="30"/>
      <c r="B14" s="31"/>
      <c r="C14" s="34"/>
      <c r="D14" s="31"/>
      <c r="E14" s="36"/>
      <c r="F14" s="48" t="s">
        <v>43</v>
      </c>
      <c r="G14" s="31" t="s">
        <v>16</v>
      </c>
      <c r="H14" s="37" t="s">
        <v>53</v>
      </c>
      <c r="I14" s="37" t="s">
        <v>52</v>
      </c>
      <c r="J14" s="37" t="s">
        <v>17</v>
      </c>
      <c r="K14" s="37" t="s">
        <v>51</v>
      </c>
      <c r="L14" s="37" t="s">
        <v>50</v>
      </c>
      <c r="M14" s="37" t="s">
        <v>17</v>
      </c>
      <c r="N14" s="37" t="s">
        <v>49</v>
      </c>
      <c r="O14" s="37" t="s">
        <v>48</v>
      </c>
      <c r="P14" s="37" t="s">
        <v>17</v>
      </c>
      <c r="Q14" s="37" t="s">
        <v>47</v>
      </c>
      <c r="R14" s="37" t="s">
        <v>46</v>
      </c>
      <c r="S14" s="45" t="s">
        <v>45</v>
      </c>
      <c r="T14" s="46" t="s">
        <v>44</v>
      </c>
      <c r="U14" s="38"/>
      <c r="W14" s="6"/>
    </row>
    <row r="15" spans="1:24" s="7" customFormat="1" ht="35" customHeight="1" x14ac:dyDescent="0.2">
      <c r="A15" s="30"/>
      <c r="B15" s="31"/>
      <c r="C15" s="34"/>
      <c r="D15" s="31"/>
      <c r="E15" s="36"/>
      <c r="F15" s="48" t="s">
        <v>54</v>
      </c>
      <c r="G15" s="31" t="s">
        <v>16</v>
      </c>
      <c r="H15" s="37" t="s">
        <v>55</v>
      </c>
      <c r="I15" s="37" t="s">
        <v>56</v>
      </c>
      <c r="J15" s="37" t="s">
        <v>17</v>
      </c>
      <c r="K15" s="37" t="s">
        <v>57</v>
      </c>
      <c r="L15" s="37" t="s">
        <v>58</v>
      </c>
      <c r="M15" s="37" t="s">
        <v>17</v>
      </c>
      <c r="N15" s="37" t="s">
        <v>59</v>
      </c>
      <c r="O15" s="37" t="s">
        <v>60</v>
      </c>
      <c r="P15" s="37" t="s">
        <v>17</v>
      </c>
      <c r="Q15" s="37" t="s">
        <v>61</v>
      </c>
      <c r="R15" s="37" t="s">
        <v>62</v>
      </c>
      <c r="S15" s="45" t="s">
        <v>63</v>
      </c>
      <c r="T15" s="46" t="s">
        <v>64</v>
      </c>
      <c r="U15" s="38"/>
      <c r="W15" s="6"/>
    </row>
    <row r="16" spans="1:24" s="7" customFormat="1" ht="35" customHeight="1" x14ac:dyDescent="0.2">
      <c r="A16" s="30"/>
      <c r="B16" s="31"/>
      <c r="C16" s="34"/>
      <c r="D16" s="30"/>
      <c r="E16" s="34"/>
      <c r="F16" s="48" t="s">
        <v>65</v>
      </c>
      <c r="G16" s="31"/>
      <c r="H16" s="39"/>
      <c r="I16" s="39"/>
      <c r="J16" s="39"/>
      <c r="K16" s="37" t="s">
        <v>66</v>
      </c>
      <c r="L16" s="37" t="s">
        <v>67</v>
      </c>
      <c r="M16" s="37" t="s">
        <v>17</v>
      </c>
      <c r="N16" s="37" t="s">
        <v>68</v>
      </c>
      <c r="O16" s="37" t="s">
        <v>69</v>
      </c>
      <c r="P16" s="37" t="s">
        <v>17</v>
      </c>
      <c r="Q16" s="37" t="s">
        <v>70</v>
      </c>
      <c r="R16" s="37" t="s">
        <v>71</v>
      </c>
      <c r="S16" s="45" t="s">
        <v>72</v>
      </c>
      <c r="T16" s="46" t="s">
        <v>73</v>
      </c>
      <c r="U16" s="38"/>
      <c r="W16" s="6"/>
    </row>
    <row r="17" spans="1:23" ht="29" customHeight="1" x14ac:dyDescent="0.2">
      <c r="A17" s="40"/>
      <c r="B17" s="40"/>
      <c r="C17" s="41"/>
      <c r="D17" s="40"/>
      <c r="E17" s="41"/>
      <c r="F17" s="26" t="s">
        <v>27</v>
      </c>
      <c r="G17" s="40"/>
      <c r="H17" s="42"/>
      <c r="I17" s="42"/>
      <c r="J17" s="42"/>
      <c r="K17" s="42">
        <v>24</v>
      </c>
      <c r="L17" s="42" t="s">
        <v>18</v>
      </c>
      <c r="M17" s="42" t="s">
        <v>17</v>
      </c>
      <c r="N17" s="42">
        <v>3</v>
      </c>
      <c r="O17" s="42" t="s">
        <v>19</v>
      </c>
      <c r="P17" s="42" t="s">
        <v>17</v>
      </c>
      <c r="Q17" s="42">
        <v>3</v>
      </c>
      <c r="R17" s="42" t="s">
        <v>20</v>
      </c>
      <c r="S17" s="47">
        <v>750</v>
      </c>
      <c r="T17" s="46">
        <f>S17*Q17*N17*K17</f>
        <v>162000</v>
      </c>
      <c r="U17" s="40"/>
    </row>
    <row r="18" spans="1:23" s="7" customFormat="1" ht="21" customHeight="1" x14ac:dyDescent="0.2">
      <c r="A18" s="25"/>
      <c r="B18" s="15"/>
      <c r="C18" s="12"/>
      <c r="D18" s="13"/>
      <c r="E18" s="12"/>
      <c r="F18" s="14"/>
      <c r="G18" s="15"/>
      <c r="H18" s="16"/>
      <c r="I18" s="16"/>
      <c r="J18" s="16"/>
      <c r="K18" s="17"/>
      <c r="L18" s="17"/>
      <c r="M18" s="17"/>
      <c r="N18" s="17"/>
      <c r="O18" s="17"/>
      <c r="P18" s="17"/>
      <c r="Q18" s="17"/>
      <c r="R18" s="17"/>
      <c r="S18" s="18"/>
      <c r="T18" s="19"/>
      <c r="U18" s="20"/>
      <c r="W18" s="6"/>
    </row>
    <row r="19" spans="1:23" ht="16" x14ac:dyDescent="0.2">
      <c r="S19" s="50"/>
      <c r="T19" s="50"/>
      <c r="U19" s="50"/>
    </row>
    <row r="20" spans="1:23" ht="16" x14ac:dyDescent="0.2">
      <c r="C20" s="51"/>
      <c r="D20" s="51"/>
      <c r="E20" s="51"/>
      <c r="S20" s="22"/>
      <c r="T20" s="22"/>
      <c r="U20" s="21"/>
    </row>
    <row r="21" spans="1:23" ht="16" x14ac:dyDescent="0.2">
      <c r="C21" t="s">
        <v>23</v>
      </c>
      <c r="S21" s="50"/>
      <c r="T21" s="50"/>
      <c r="U21" s="50"/>
    </row>
    <row r="22" spans="1:23" ht="16" x14ac:dyDescent="0.2">
      <c r="C22" t="s">
        <v>24</v>
      </c>
      <c r="S22" s="22"/>
      <c r="T22" s="22"/>
      <c r="U22" s="21"/>
    </row>
    <row r="23" spans="1:23" ht="16" x14ac:dyDescent="0.2">
      <c r="S23" s="22"/>
      <c r="T23" s="22"/>
      <c r="U23" s="21"/>
    </row>
    <row r="24" spans="1:23" ht="16" x14ac:dyDescent="0.2">
      <c r="S24" s="22"/>
      <c r="T24" s="22"/>
      <c r="U24" s="21"/>
    </row>
    <row r="25" spans="1:23" ht="16" x14ac:dyDescent="0.2">
      <c r="S25" s="22"/>
      <c r="T25" s="22"/>
      <c r="U25" s="21"/>
    </row>
    <row r="26" spans="1:23" ht="16" x14ac:dyDescent="0.2">
      <c r="C26" s="23" t="s">
        <v>25</v>
      </c>
      <c r="S26" s="24"/>
      <c r="T26" s="22"/>
      <c r="U26" s="21"/>
    </row>
    <row r="27" spans="1:23" x14ac:dyDescent="0.2">
      <c r="C27" s="8" t="s">
        <v>26</v>
      </c>
    </row>
  </sheetData>
  <autoFilter ref="A1:A17" xr:uid="{00000000-0009-0000-0000-000000000000}"/>
  <mergeCells count="22">
    <mergeCell ref="H7:R8"/>
    <mergeCell ref="S7:S8"/>
    <mergeCell ref="T7:T8"/>
    <mergeCell ref="U7:U8"/>
    <mergeCell ref="A7:B8"/>
    <mergeCell ref="C7:C8"/>
    <mergeCell ref="D7:E7"/>
    <mergeCell ref="F7:F8"/>
    <mergeCell ref="G7:G8"/>
    <mergeCell ref="A1:U1"/>
    <mergeCell ref="A2:U2"/>
    <mergeCell ref="A3:U3"/>
    <mergeCell ref="A4:U4"/>
    <mergeCell ref="A6:T6"/>
    <mergeCell ref="A9:T9"/>
    <mergeCell ref="S19:U19"/>
    <mergeCell ref="C20:E20"/>
    <mergeCell ref="S21:U21"/>
    <mergeCell ref="C12:T12"/>
    <mergeCell ref="C11:T11"/>
    <mergeCell ref="C10:T10"/>
    <mergeCell ref="A10:B10"/>
  </mergeCells>
  <pageMargins left="0.9055118110236221" right="0.70866141732283472" top="0.74803149606299213" bottom="0.74803149606299213" header="0.31496062992125984" footer="0.31496062992125984"/>
  <pageSetup paperSize="9" scale="16" orientation="landscape" r:id="rId1"/>
  <colBreaks count="2" manualBreakCount="2">
    <brk id="21" max="4417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workbook</vt:lpstr>
      <vt:lpstr>workbook!Print_Area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cindyl4tusanay</dc:creator>
  <cp:lastModifiedBy>cindyl4tusanay</cp:lastModifiedBy>
  <dcterms:created xsi:type="dcterms:W3CDTF">2025-09-28T12:19:27Z</dcterms:created>
  <dcterms:modified xsi:type="dcterms:W3CDTF">2025-09-28T16:46:38Z</dcterms:modified>
</cp:coreProperties>
</file>